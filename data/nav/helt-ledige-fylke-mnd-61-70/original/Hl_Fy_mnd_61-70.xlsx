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9690" windowHeight="5985" activeTab="4"/>
  </bookViews>
  <sheets>
    <sheet name="1961-62" sheetId="1" r:id="rId1"/>
    <sheet name="1963-64" sheetId="3" r:id="rId2"/>
    <sheet name="1965-66" sheetId="2" r:id="rId3"/>
    <sheet name="1967-68 " sheetId="5" r:id="rId4"/>
    <sheet name="1969-70" sheetId="4" r:id="rId5"/>
  </sheets>
  <calcPr calcId="145621"/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</calcChain>
</file>

<file path=xl/sharedStrings.xml><?xml version="1.0" encoding="utf-8"?>
<sst xmlns="http://schemas.openxmlformats.org/spreadsheetml/2006/main" count="355" uniqueCount="36">
  <si>
    <t xml:space="preserve"> </t>
  </si>
  <si>
    <t>Fylker</t>
  </si>
  <si>
    <t>Østfold</t>
  </si>
  <si>
    <t>Akershus</t>
  </si>
  <si>
    <t>Oslo</t>
  </si>
  <si>
    <t>Hedmark</t>
  </si>
  <si>
    <t>Oppland</t>
  </si>
  <si>
    <t>Buskerud</t>
  </si>
  <si>
    <t>Vestfold</t>
  </si>
  <si>
    <t>Telemark</t>
  </si>
  <si>
    <t>Aust-Agder</t>
  </si>
  <si>
    <t>Vest-Agder</t>
  </si>
  <si>
    <t>Rogaland</t>
  </si>
  <si>
    <t>Hordaland</t>
  </si>
  <si>
    <t>Nordland</t>
  </si>
  <si>
    <t>Troms</t>
  </si>
  <si>
    <t>Finnmark</t>
  </si>
  <si>
    <t>Riket</t>
  </si>
  <si>
    <t>Mars</t>
  </si>
  <si>
    <t>April</t>
  </si>
  <si>
    <t>Mai</t>
  </si>
  <si>
    <t>Juni</t>
  </si>
  <si>
    <t>Juli</t>
  </si>
  <si>
    <t>Jan</t>
  </si>
  <si>
    <t>Feb</t>
  </si>
  <si>
    <t>Aug</t>
  </si>
  <si>
    <t>Sept</t>
  </si>
  <si>
    <t>Okt</t>
  </si>
  <si>
    <t>Nov</t>
  </si>
  <si>
    <t>Des</t>
  </si>
  <si>
    <t>Årsgj.</t>
  </si>
  <si>
    <t>Helt arbeidsledige fordelt på fylker</t>
  </si>
  <si>
    <t>Sogn og Fj</t>
  </si>
  <si>
    <t>Møre og Roms</t>
  </si>
  <si>
    <t>Sør-Tr.lag</t>
  </si>
  <si>
    <t>Nord-Tr.lag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</si>
</sst>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8"/>
      <name val="Times New Roman"/>
    </font>
    <font>
      <b/>
      <sz val="9"/>
      <name val="Verdana"/>
      <family val="2"/>
    </font>
    <font>
      <sz val="9"/>
      <name val="Verdana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3" fontId="2" fillId="0" borderId="0" xfId="0" applyNumberFormat="1" applyFont="1"/>
    <xf numFmtId="0" fontId="2" fillId="0" borderId="2" xfId="0" applyFont="1" applyBorder="1"/>
    <xf numFmtId="0" fontId="2" fillId="0" borderId="3" xfId="0" applyFont="1" applyBorder="1"/>
    <xf numFmtId="0" fontId="1" fillId="0" borderId="0" xfId="0" applyFont="1" applyAlignment="1">
      <alignment horizontal="left"/>
    </xf>
    <xf numFmtId="3" fontId="2" fillId="0" borderId="1" xfId="0" applyNumberFormat="1" applyFont="1" applyBorder="1"/>
    <xf numFmtId="0" fontId="2" fillId="0" borderId="0" xfId="0" applyFont="1" applyBorder="1"/>
    <xf numFmtId="3" fontId="2" fillId="0" borderId="0" xfId="0" applyNumberFormat="1" applyFont="1" applyBorder="1"/>
    <xf numFmtId="3" fontId="3" fillId="0" borderId="0" xfId="0" applyNumberFormat="1" applyFont="1"/>
    <xf numFmtId="0" fontId="3" fillId="0" borderId="0" xfId="0" applyFont="1"/>
    <xf numFmtId="3" fontId="3" fillId="0" borderId="2" xfId="0" applyNumberFormat="1" applyFont="1" applyBorder="1"/>
    <xf numFmtId="0" fontId="3" fillId="0" borderId="2" xfId="0" applyFont="1" applyBorder="1"/>
    <xf numFmtId="3" fontId="3" fillId="0" borderId="3" xfId="0" applyNumberFormat="1" applyFont="1" applyBorder="1"/>
    <xf numFmtId="3" fontId="3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topLeftCell="A4" zoomScale="75" zoomScaleNormal="75" zoomScaleSheetLayoutView="80" workbookViewId="0">
      <selection activeCell="A5" sqref="A5"/>
    </sheetView>
  </sheetViews>
  <sheetFormatPr baseColWidth="10" defaultColWidth="9.33203125" defaultRowHeight="12" customHeight="1" x14ac:dyDescent="0.15"/>
  <cols>
    <col min="1" max="1" width="18" style="2" customWidth="1"/>
    <col min="2" max="13" width="8.33203125" style="2" customWidth="1"/>
    <col min="14" max="14" width="8.33203125" style="4" customWidth="1"/>
    <col min="15" max="19" width="8.33203125" style="2" customWidth="1"/>
    <col min="20" max="21" width="8.83203125" style="2" customWidth="1"/>
    <col min="22" max="16384" width="9.33203125" style="2"/>
  </cols>
  <sheetData>
    <row r="1" spans="1:15" ht="12" customHeight="1" x14ac:dyDescent="0.15">
      <c r="A1" s="2" t="s">
        <v>0</v>
      </c>
    </row>
    <row r="2" spans="1:15" ht="12" customHeight="1" x14ac:dyDescent="0.15">
      <c r="A2" s="1" t="s">
        <v>31</v>
      </c>
    </row>
    <row r="3" spans="1:15" ht="12" customHeight="1" x14ac:dyDescent="0.15">
      <c r="A3" s="7">
        <v>1961</v>
      </c>
    </row>
    <row r="4" spans="1:15" ht="12" customHeight="1" x14ac:dyDescent="0.15">
      <c r="A4" s="3" t="s">
        <v>1</v>
      </c>
      <c r="B4" s="3" t="s">
        <v>23</v>
      </c>
      <c r="C4" s="3" t="s">
        <v>24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8" t="s">
        <v>30</v>
      </c>
    </row>
    <row r="6" spans="1:15" ht="12" customHeight="1" x14ac:dyDescent="0.15">
      <c r="A6" s="2" t="s">
        <v>2</v>
      </c>
      <c r="B6" s="11">
        <v>676</v>
      </c>
      <c r="C6" s="11">
        <v>616</v>
      </c>
      <c r="D6" s="11">
        <v>477</v>
      </c>
      <c r="E6" s="11">
        <v>228</v>
      </c>
      <c r="F6" s="11">
        <v>156</v>
      </c>
      <c r="G6" s="11">
        <v>146</v>
      </c>
      <c r="H6" s="11">
        <v>150</v>
      </c>
      <c r="I6" s="11">
        <v>200</v>
      </c>
      <c r="J6" s="11">
        <v>207</v>
      </c>
      <c r="K6" s="11">
        <v>292</v>
      </c>
      <c r="L6" s="12">
        <v>344</v>
      </c>
      <c r="M6" s="12">
        <v>676</v>
      </c>
      <c r="N6" s="11">
        <f>SUM(B6:M6)/12</f>
        <v>347.33333333333331</v>
      </c>
      <c r="O6" s="12"/>
    </row>
    <row r="7" spans="1:15" ht="12" customHeight="1" x14ac:dyDescent="0.15">
      <c r="A7" s="2" t="s">
        <v>3</v>
      </c>
      <c r="B7" s="11">
        <v>345</v>
      </c>
      <c r="C7" s="11">
        <v>323</v>
      </c>
      <c r="D7" s="11">
        <v>241</v>
      </c>
      <c r="E7" s="11">
        <v>122</v>
      </c>
      <c r="F7" s="11">
        <v>56</v>
      </c>
      <c r="G7" s="11">
        <v>45</v>
      </c>
      <c r="H7" s="11">
        <v>59</v>
      </c>
      <c r="I7" s="11">
        <v>51</v>
      </c>
      <c r="J7" s="11">
        <v>66</v>
      </c>
      <c r="K7" s="11">
        <v>94</v>
      </c>
      <c r="L7" s="12">
        <v>164</v>
      </c>
      <c r="M7" s="12">
        <v>303</v>
      </c>
      <c r="N7" s="11">
        <f>SUM(B7:M7)/12</f>
        <v>155.75</v>
      </c>
      <c r="O7" s="12"/>
    </row>
    <row r="8" spans="1:15" ht="12" customHeight="1" x14ac:dyDescent="0.15">
      <c r="A8" s="2" t="s">
        <v>4</v>
      </c>
      <c r="B8" s="11">
        <v>1106</v>
      </c>
      <c r="C8" s="11">
        <v>1000</v>
      </c>
      <c r="D8" s="11">
        <v>712</v>
      </c>
      <c r="E8" s="11">
        <v>402</v>
      </c>
      <c r="F8" s="11">
        <v>336</v>
      </c>
      <c r="G8" s="11">
        <v>238</v>
      </c>
      <c r="H8" s="11">
        <v>242</v>
      </c>
      <c r="I8" s="11">
        <v>357</v>
      </c>
      <c r="J8" s="11">
        <v>388</v>
      </c>
      <c r="K8" s="11">
        <v>466</v>
      </c>
      <c r="L8" s="12">
        <v>617</v>
      </c>
      <c r="M8" s="12">
        <v>740</v>
      </c>
      <c r="N8" s="11">
        <f>SUM(B8:M8)/12</f>
        <v>550.33333333333337</v>
      </c>
      <c r="O8" s="12"/>
    </row>
    <row r="9" spans="1:15" ht="12" customHeight="1" x14ac:dyDescent="0.15">
      <c r="A9" s="2" t="s">
        <v>5</v>
      </c>
      <c r="B9" s="11">
        <v>1477</v>
      </c>
      <c r="C9" s="11">
        <v>1095</v>
      </c>
      <c r="D9" s="11">
        <v>1194</v>
      </c>
      <c r="E9" s="11">
        <v>1218</v>
      </c>
      <c r="F9" s="11">
        <v>188</v>
      </c>
      <c r="G9" s="11">
        <v>69</v>
      </c>
      <c r="H9" s="11">
        <v>55</v>
      </c>
      <c r="I9" s="11">
        <v>89</v>
      </c>
      <c r="J9" s="11">
        <v>106</v>
      </c>
      <c r="K9" s="11">
        <v>149</v>
      </c>
      <c r="L9" s="12">
        <v>471</v>
      </c>
      <c r="M9" s="12">
        <v>1303</v>
      </c>
      <c r="N9" s="11">
        <f t="shared" ref="N9:N26" si="0">SUM(B9:M9)/12</f>
        <v>617.83333333333337</v>
      </c>
      <c r="O9" s="12"/>
    </row>
    <row r="10" spans="1:15" ht="12" customHeight="1" x14ac:dyDescent="0.15">
      <c r="A10" s="5" t="s">
        <v>6</v>
      </c>
      <c r="B10" s="13">
        <v>2280</v>
      </c>
      <c r="C10" s="13">
        <v>1819</v>
      </c>
      <c r="D10" s="13">
        <v>1513</v>
      </c>
      <c r="E10" s="13">
        <v>1006</v>
      </c>
      <c r="F10" s="13">
        <v>233</v>
      </c>
      <c r="G10" s="13">
        <v>135</v>
      </c>
      <c r="H10" s="13">
        <v>98</v>
      </c>
      <c r="I10" s="13">
        <v>134</v>
      </c>
      <c r="J10" s="13">
        <v>140</v>
      </c>
      <c r="K10" s="13">
        <v>292</v>
      </c>
      <c r="L10" s="13">
        <v>737</v>
      </c>
      <c r="M10" s="13">
        <v>1746</v>
      </c>
      <c r="N10" s="13">
        <f t="shared" si="0"/>
        <v>844.41666666666663</v>
      </c>
      <c r="O10" s="12"/>
    </row>
    <row r="11" spans="1:15" ht="12" customHeight="1" x14ac:dyDescent="0.15">
      <c r="A11" s="2" t="s">
        <v>7</v>
      </c>
      <c r="B11" s="11">
        <v>906</v>
      </c>
      <c r="C11" s="11">
        <v>821</v>
      </c>
      <c r="D11" s="11">
        <v>432</v>
      </c>
      <c r="E11" s="11">
        <v>218</v>
      </c>
      <c r="F11" s="11">
        <v>82</v>
      </c>
      <c r="G11" s="11">
        <v>70</v>
      </c>
      <c r="H11" s="11">
        <v>60</v>
      </c>
      <c r="I11" s="11">
        <v>81</v>
      </c>
      <c r="J11" s="11">
        <v>152</v>
      </c>
      <c r="K11" s="11">
        <v>138</v>
      </c>
      <c r="L11" s="12">
        <v>302</v>
      </c>
      <c r="M11" s="12">
        <v>617</v>
      </c>
      <c r="N11" s="11">
        <f t="shared" si="0"/>
        <v>323.25</v>
      </c>
      <c r="O11" s="12"/>
    </row>
    <row r="12" spans="1:15" ht="12" customHeight="1" x14ac:dyDescent="0.15">
      <c r="A12" s="2" t="s">
        <v>8</v>
      </c>
      <c r="B12" s="11">
        <v>569</v>
      </c>
      <c r="C12" s="11">
        <v>538</v>
      </c>
      <c r="D12" s="11">
        <v>314</v>
      </c>
      <c r="E12" s="11">
        <v>143</v>
      </c>
      <c r="F12" s="11">
        <v>76</v>
      </c>
      <c r="G12" s="11">
        <v>48</v>
      </c>
      <c r="H12" s="11">
        <v>77</v>
      </c>
      <c r="I12" s="11">
        <v>83</v>
      </c>
      <c r="J12" s="11">
        <v>88</v>
      </c>
      <c r="K12" s="11">
        <v>107</v>
      </c>
      <c r="L12" s="12">
        <v>170</v>
      </c>
      <c r="M12" s="12">
        <v>228</v>
      </c>
      <c r="N12" s="11">
        <f t="shared" si="0"/>
        <v>203.41666666666666</v>
      </c>
      <c r="O12" s="12"/>
    </row>
    <row r="13" spans="1:15" ht="12" customHeight="1" x14ac:dyDescent="0.15">
      <c r="A13" s="2" t="s">
        <v>9</v>
      </c>
      <c r="B13" s="11">
        <v>695</v>
      </c>
      <c r="C13" s="11">
        <v>451</v>
      </c>
      <c r="D13" s="11">
        <v>247</v>
      </c>
      <c r="E13" s="11">
        <v>103</v>
      </c>
      <c r="F13" s="11">
        <v>57</v>
      </c>
      <c r="G13" s="11">
        <v>41</v>
      </c>
      <c r="H13" s="11">
        <v>96</v>
      </c>
      <c r="I13" s="11">
        <v>81</v>
      </c>
      <c r="J13" s="11">
        <v>79</v>
      </c>
      <c r="K13" s="11">
        <v>91</v>
      </c>
      <c r="L13" s="12">
        <v>147</v>
      </c>
      <c r="M13" s="12">
        <v>360</v>
      </c>
      <c r="N13" s="11">
        <f t="shared" si="0"/>
        <v>204</v>
      </c>
      <c r="O13" s="12"/>
    </row>
    <row r="14" spans="1:15" ht="12" customHeight="1" x14ac:dyDescent="0.15">
      <c r="A14" s="2" t="s">
        <v>10</v>
      </c>
      <c r="B14" s="11">
        <v>732</v>
      </c>
      <c r="C14" s="11">
        <v>433</v>
      </c>
      <c r="D14" s="11">
        <v>241</v>
      </c>
      <c r="E14" s="11">
        <v>114</v>
      </c>
      <c r="F14" s="11">
        <v>52</v>
      </c>
      <c r="G14" s="11">
        <v>65</v>
      </c>
      <c r="H14" s="11">
        <v>67</v>
      </c>
      <c r="I14" s="11">
        <v>144</v>
      </c>
      <c r="J14" s="11">
        <v>120</v>
      </c>
      <c r="K14" s="11">
        <v>214</v>
      </c>
      <c r="L14" s="12">
        <v>275</v>
      </c>
      <c r="M14" s="12">
        <v>451</v>
      </c>
      <c r="N14" s="11">
        <f t="shared" si="0"/>
        <v>242.33333333333334</v>
      </c>
      <c r="O14" s="12"/>
    </row>
    <row r="15" spans="1:15" ht="12" customHeight="1" x14ac:dyDescent="0.15">
      <c r="A15" s="5" t="s">
        <v>11</v>
      </c>
      <c r="B15" s="13">
        <v>307</v>
      </c>
      <c r="C15" s="13">
        <v>205</v>
      </c>
      <c r="D15" s="13">
        <v>128</v>
      </c>
      <c r="E15" s="13">
        <v>54</v>
      </c>
      <c r="F15" s="13">
        <v>39</v>
      </c>
      <c r="G15" s="13">
        <v>24</v>
      </c>
      <c r="H15" s="13">
        <v>24</v>
      </c>
      <c r="I15" s="13">
        <v>27</v>
      </c>
      <c r="J15" s="13">
        <v>35</v>
      </c>
      <c r="K15" s="13">
        <v>147</v>
      </c>
      <c r="L15" s="13">
        <v>181</v>
      </c>
      <c r="M15" s="13">
        <v>427</v>
      </c>
      <c r="N15" s="13">
        <f t="shared" si="0"/>
        <v>133.16666666666666</v>
      </c>
      <c r="O15" s="12"/>
    </row>
    <row r="16" spans="1:15" ht="12" customHeight="1" x14ac:dyDescent="0.15">
      <c r="A16" s="2" t="s">
        <v>12</v>
      </c>
      <c r="B16" s="11">
        <v>1846</v>
      </c>
      <c r="C16" s="11">
        <v>1170</v>
      </c>
      <c r="D16" s="11">
        <v>1200</v>
      </c>
      <c r="E16" s="11">
        <v>1088</v>
      </c>
      <c r="F16" s="11">
        <v>587</v>
      </c>
      <c r="G16" s="11">
        <v>853</v>
      </c>
      <c r="H16" s="11">
        <v>513</v>
      </c>
      <c r="I16" s="11">
        <v>420</v>
      </c>
      <c r="J16" s="11">
        <v>485</v>
      </c>
      <c r="K16" s="11">
        <v>791</v>
      </c>
      <c r="L16" s="12">
        <v>944</v>
      </c>
      <c r="M16" s="12">
        <v>1445</v>
      </c>
      <c r="N16" s="11">
        <f t="shared" si="0"/>
        <v>945.16666666666663</v>
      </c>
      <c r="O16" s="12"/>
    </row>
    <row r="17" spans="1:15" ht="12" customHeight="1" x14ac:dyDescent="0.15">
      <c r="A17" s="2" t="s">
        <v>13</v>
      </c>
      <c r="B17" s="11">
        <v>2957</v>
      </c>
      <c r="C17" s="11">
        <v>2274</v>
      </c>
      <c r="D17" s="11">
        <v>2478</v>
      </c>
      <c r="E17" s="11">
        <v>1585</v>
      </c>
      <c r="F17" s="11">
        <v>595</v>
      </c>
      <c r="G17" s="11">
        <v>523</v>
      </c>
      <c r="H17" s="11">
        <v>514</v>
      </c>
      <c r="I17" s="11">
        <v>673</v>
      </c>
      <c r="J17" s="11">
        <v>860</v>
      </c>
      <c r="K17" s="11">
        <v>1184</v>
      </c>
      <c r="L17" s="12">
        <v>1368</v>
      </c>
      <c r="M17" s="12">
        <v>2197</v>
      </c>
      <c r="N17" s="11">
        <f t="shared" si="0"/>
        <v>1434</v>
      </c>
      <c r="O17" s="12"/>
    </row>
    <row r="18" spans="1:15" ht="12" customHeight="1" x14ac:dyDescent="0.15">
      <c r="A18" s="2" t="s">
        <v>32</v>
      </c>
      <c r="B18" s="11">
        <v>1100</v>
      </c>
      <c r="C18" s="11">
        <v>721</v>
      </c>
      <c r="D18" s="11">
        <v>533</v>
      </c>
      <c r="E18" s="11">
        <v>255</v>
      </c>
      <c r="F18" s="11">
        <v>89</v>
      </c>
      <c r="G18" s="11">
        <v>44</v>
      </c>
      <c r="H18" s="11">
        <v>50</v>
      </c>
      <c r="I18" s="11">
        <v>128</v>
      </c>
      <c r="J18" s="11">
        <v>115</v>
      </c>
      <c r="K18" s="11">
        <v>222</v>
      </c>
      <c r="L18" s="12">
        <v>314</v>
      </c>
      <c r="M18" s="12">
        <v>867</v>
      </c>
      <c r="N18" s="11">
        <f t="shared" si="0"/>
        <v>369.83333333333331</v>
      </c>
      <c r="O18" s="12"/>
    </row>
    <row r="19" spans="1:15" ht="12" customHeight="1" x14ac:dyDescent="0.15">
      <c r="A19" s="5" t="s">
        <v>33</v>
      </c>
      <c r="B19" s="14">
        <v>1928</v>
      </c>
      <c r="C19" s="14">
        <v>1250</v>
      </c>
      <c r="D19" s="14">
        <v>1995</v>
      </c>
      <c r="E19" s="14">
        <v>1050</v>
      </c>
      <c r="F19" s="14">
        <v>561</v>
      </c>
      <c r="G19" s="14">
        <v>397</v>
      </c>
      <c r="H19" s="14">
        <v>358</v>
      </c>
      <c r="I19" s="14">
        <v>505</v>
      </c>
      <c r="J19" s="14">
        <v>525</v>
      </c>
      <c r="K19" s="14">
        <v>721</v>
      </c>
      <c r="L19" s="14">
        <v>904</v>
      </c>
      <c r="M19" s="14">
        <v>2002</v>
      </c>
      <c r="N19" s="14">
        <f t="shared" si="0"/>
        <v>1016.3333333333334</v>
      </c>
      <c r="O19" s="12"/>
    </row>
    <row r="20" spans="1:15" ht="12" customHeight="1" x14ac:dyDescent="0.15">
      <c r="A20" s="2" t="s">
        <v>34</v>
      </c>
      <c r="B20" s="11">
        <v>2129</v>
      </c>
      <c r="C20" s="11">
        <v>1641</v>
      </c>
      <c r="D20" s="11">
        <v>1718</v>
      </c>
      <c r="E20" s="11">
        <v>1452</v>
      </c>
      <c r="F20" s="11">
        <v>520</v>
      </c>
      <c r="G20" s="11">
        <v>287</v>
      </c>
      <c r="H20" s="11">
        <v>242</v>
      </c>
      <c r="I20" s="11">
        <v>452</v>
      </c>
      <c r="J20" s="11">
        <v>479</v>
      </c>
      <c r="K20" s="11">
        <v>759</v>
      </c>
      <c r="L20" s="12">
        <v>1103</v>
      </c>
      <c r="M20" s="12">
        <v>1891</v>
      </c>
      <c r="N20" s="11">
        <f t="shared" si="0"/>
        <v>1056.0833333333333</v>
      </c>
      <c r="O20" s="12"/>
    </row>
    <row r="21" spans="1:15" ht="12" customHeight="1" x14ac:dyDescent="0.15">
      <c r="A21" s="2" t="s">
        <v>35</v>
      </c>
      <c r="B21" s="11">
        <v>1312</v>
      </c>
      <c r="C21" s="11">
        <v>1147</v>
      </c>
      <c r="D21" s="11">
        <v>1373</v>
      </c>
      <c r="E21" s="11">
        <v>1136</v>
      </c>
      <c r="F21" s="11">
        <v>437</v>
      </c>
      <c r="G21" s="11">
        <v>177</v>
      </c>
      <c r="H21" s="11">
        <v>187</v>
      </c>
      <c r="I21" s="11">
        <v>180</v>
      </c>
      <c r="J21" s="11">
        <v>279</v>
      </c>
      <c r="K21" s="11">
        <v>459</v>
      </c>
      <c r="L21" s="12">
        <v>700</v>
      </c>
      <c r="M21" s="12">
        <v>1567</v>
      </c>
      <c r="N21" s="11">
        <f t="shared" si="0"/>
        <v>746.16666666666663</v>
      </c>
      <c r="O21" s="12"/>
    </row>
    <row r="22" spans="1:15" ht="12" customHeight="1" x14ac:dyDescent="0.15">
      <c r="A22" s="2" t="s">
        <v>14</v>
      </c>
      <c r="B22" s="11">
        <v>3873</v>
      </c>
      <c r="C22" s="11">
        <v>2637</v>
      </c>
      <c r="D22" s="11">
        <v>2150</v>
      </c>
      <c r="E22" s="11">
        <v>2501</v>
      </c>
      <c r="F22" s="11">
        <v>1272</v>
      </c>
      <c r="G22" s="11">
        <v>669</v>
      </c>
      <c r="H22" s="11">
        <v>356</v>
      </c>
      <c r="I22" s="11">
        <v>622</v>
      </c>
      <c r="J22" s="11">
        <v>877</v>
      </c>
      <c r="K22" s="11">
        <v>1344</v>
      </c>
      <c r="L22" s="12">
        <v>2115</v>
      </c>
      <c r="M22" s="12">
        <v>4174</v>
      </c>
      <c r="N22" s="11">
        <f t="shared" si="0"/>
        <v>1882.5</v>
      </c>
      <c r="O22" s="12"/>
    </row>
    <row r="23" spans="1:15" ht="12" customHeight="1" x14ac:dyDescent="0.15">
      <c r="A23" s="2" t="s">
        <v>15</v>
      </c>
      <c r="B23" s="11">
        <v>2891</v>
      </c>
      <c r="C23" s="11">
        <v>2078</v>
      </c>
      <c r="D23" s="11">
        <v>1535</v>
      </c>
      <c r="E23" s="11">
        <v>1289</v>
      </c>
      <c r="F23" s="11">
        <v>831</v>
      </c>
      <c r="G23" s="11">
        <v>378</v>
      </c>
      <c r="H23" s="11">
        <v>190</v>
      </c>
      <c r="I23" s="11">
        <v>313</v>
      </c>
      <c r="J23" s="11">
        <v>384</v>
      </c>
      <c r="K23" s="11">
        <v>652</v>
      </c>
      <c r="L23" s="12">
        <v>1398</v>
      </c>
      <c r="M23" s="12">
        <v>2528</v>
      </c>
      <c r="N23" s="11">
        <f t="shared" si="0"/>
        <v>1205.5833333333333</v>
      </c>
      <c r="O23" s="12"/>
    </row>
    <row r="24" spans="1:15" ht="12" customHeight="1" x14ac:dyDescent="0.15">
      <c r="A24" s="2" t="s">
        <v>16</v>
      </c>
      <c r="B24" s="11">
        <v>2106</v>
      </c>
      <c r="C24" s="11">
        <v>1714</v>
      </c>
      <c r="D24" s="11">
        <v>1006</v>
      </c>
      <c r="E24" s="11">
        <v>749</v>
      </c>
      <c r="F24" s="11">
        <v>384</v>
      </c>
      <c r="G24" s="11">
        <v>102</v>
      </c>
      <c r="H24" s="11">
        <v>38</v>
      </c>
      <c r="I24" s="11">
        <v>53</v>
      </c>
      <c r="J24" s="11">
        <v>91</v>
      </c>
      <c r="K24" s="11">
        <v>195</v>
      </c>
      <c r="L24" s="12">
        <v>807</v>
      </c>
      <c r="M24" s="12">
        <v>1998</v>
      </c>
      <c r="N24" s="11">
        <f t="shared" si="0"/>
        <v>770.25</v>
      </c>
      <c r="O24" s="12"/>
    </row>
    <row r="25" spans="1:15" ht="12" customHeight="1" x14ac:dyDescent="0.1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2"/>
      <c r="M25" s="12"/>
      <c r="N25" s="11"/>
      <c r="O25" s="12"/>
    </row>
    <row r="26" spans="1:15" ht="12" customHeight="1" x14ac:dyDescent="0.15">
      <c r="A26" s="6" t="s">
        <v>17</v>
      </c>
      <c r="B26" s="15">
        <f t="shared" ref="B26:M26" si="1">SUM(B6:B24)</f>
        <v>29235</v>
      </c>
      <c r="C26" s="15">
        <f t="shared" si="1"/>
        <v>21933</v>
      </c>
      <c r="D26" s="15">
        <f t="shared" si="1"/>
        <v>19487</v>
      </c>
      <c r="E26" s="15">
        <f t="shared" si="1"/>
        <v>14713</v>
      </c>
      <c r="F26" s="15">
        <f t="shared" si="1"/>
        <v>6551</v>
      </c>
      <c r="G26" s="15">
        <f t="shared" si="1"/>
        <v>4311</v>
      </c>
      <c r="H26" s="15">
        <f t="shared" si="1"/>
        <v>3376</v>
      </c>
      <c r="I26" s="15">
        <f t="shared" si="1"/>
        <v>4593</v>
      </c>
      <c r="J26" s="15">
        <f t="shared" si="1"/>
        <v>5476</v>
      </c>
      <c r="K26" s="15">
        <f t="shared" si="1"/>
        <v>8317</v>
      </c>
      <c r="L26" s="15">
        <f t="shared" si="1"/>
        <v>13061</v>
      </c>
      <c r="M26" s="15">
        <f t="shared" si="1"/>
        <v>25520</v>
      </c>
      <c r="N26" s="15">
        <f t="shared" si="0"/>
        <v>13047.75</v>
      </c>
      <c r="O26" s="12"/>
    </row>
    <row r="27" spans="1:15" ht="12" customHeight="1" x14ac:dyDescent="0.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5" ht="12" customHeight="1" x14ac:dyDescent="0.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30" spans="1:15" ht="12" customHeight="1" x14ac:dyDescent="0.15">
      <c r="A30" s="1" t="s">
        <v>31</v>
      </c>
    </row>
    <row r="31" spans="1:15" ht="12" customHeight="1" x14ac:dyDescent="0.15">
      <c r="A31" s="7">
        <v>1962</v>
      </c>
    </row>
    <row r="32" spans="1:15" ht="12" customHeight="1" x14ac:dyDescent="0.15">
      <c r="A32" s="3" t="s">
        <v>1</v>
      </c>
      <c r="B32" s="3" t="s">
        <v>23</v>
      </c>
      <c r="C32" s="3" t="s">
        <v>24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29</v>
      </c>
      <c r="N32" s="8" t="s">
        <v>30</v>
      </c>
    </row>
    <row r="34" spans="1:15" ht="12" customHeight="1" x14ac:dyDescent="0.15">
      <c r="A34" s="2" t="s">
        <v>2</v>
      </c>
      <c r="B34" s="11">
        <v>854</v>
      </c>
      <c r="C34" s="11">
        <v>879</v>
      </c>
      <c r="D34" s="11">
        <v>753</v>
      </c>
      <c r="E34" s="11">
        <v>480</v>
      </c>
      <c r="F34" s="11">
        <v>348</v>
      </c>
      <c r="G34" s="11">
        <v>261</v>
      </c>
      <c r="H34" s="11">
        <v>229</v>
      </c>
      <c r="I34" s="11">
        <v>382</v>
      </c>
      <c r="J34" s="11">
        <v>421</v>
      </c>
      <c r="K34" s="11">
        <v>602</v>
      </c>
      <c r="L34" s="12">
        <v>734</v>
      </c>
      <c r="M34" s="12">
        <v>1165</v>
      </c>
      <c r="N34" s="11">
        <f>SUM(B34:M34)/12</f>
        <v>592.33333333333337</v>
      </c>
      <c r="O34" s="12"/>
    </row>
    <row r="35" spans="1:15" ht="12" customHeight="1" x14ac:dyDescent="0.15">
      <c r="A35" s="2" t="s">
        <v>3</v>
      </c>
      <c r="B35" s="11">
        <v>383</v>
      </c>
      <c r="C35" s="11">
        <v>376</v>
      </c>
      <c r="D35" s="11">
        <v>342</v>
      </c>
      <c r="E35" s="11">
        <v>272</v>
      </c>
      <c r="F35" s="11">
        <v>92</v>
      </c>
      <c r="G35" s="11">
        <v>53</v>
      </c>
      <c r="H35" s="11">
        <v>55</v>
      </c>
      <c r="I35" s="11">
        <v>67</v>
      </c>
      <c r="J35" s="11">
        <v>95</v>
      </c>
      <c r="K35" s="11">
        <v>113</v>
      </c>
      <c r="L35" s="12">
        <v>189</v>
      </c>
      <c r="M35" s="12">
        <v>311</v>
      </c>
      <c r="N35" s="11">
        <f>SUM(B35:M35)/12</f>
        <v>195.66666666666666</v>
      </c>
      <c r="O35" s="12"/>
    </row>
    <row r="36" spans="1:15" ht="12" customHeight="1" x14ac:dyDescent="0.15">
      <c r="A36" s="2" t="s">
        <v>4</v>
      </c>
      <c r="B36" s="11">
        <v>1042</v>
      </c>
      <c r="C36" s="11">
        <v>1058</v>
      </c>
      <c r="D36" s="11">
        <v>924</v>
      </c>
      <c r="E36" s="11">
        <v>721</v>
      </c>
      <c r="F36" s="11">
        <v>413</v>
      </c>
      <c r="G36" s="11">
        <v>278</v>
      </c>
      <c r="H36" s="11">
        <v>424</v>
      </c>
      <c r="I36" s="11">
        <v>396</v>
      </c>
      <c r="J36" s="11">
        <v>460</v>
      </c>
      <c r="K36" s="11">
        <v>657</v>
      </c>
      <c r="L36" s="12">
        <v>644</v>
      </c>
      <c r="M36" s="12">
        <v>790</v>
      </c>
      <c r="N36" s="11">
        <f>SUM(B36:M36)/12</f>
        <v>650.58333333333337</v>
      </c>
      <c r="O36" s="12"/>
    </row>
    <row r="37" spans="1:15" ht="12" customHeight="1" x14ac:dyDescent="0.15">
      <c r="A37" s="2" t="s">
        <v>5</v>
      </c>
      <c r="B37" s="11">
        <v>1474</v>
      </c>
      <c r="C37" s="11">
        <v>1507</v>
      </c>
      <c r="D37" s="11">
        <v>1602</v>
      </c>
      <c r="E37" s="11">
        <v>2458</v>
      </c>
      <c r="F37" s="11">
        <v>513</v>
      </c>
      <c r="G37" s="11">
        <v>122</v>
      </c>
      <c r="H37" s="11">
        <v>107</v>
      </c>
      <c r="I37" s="11">
        <v>164</v>
      </c>
      <c r="J37" s="11">
        <v>178</v>
      </c>
      <c r="K37" s="11">
        <v>294</v>
      </c>
      <c r="L37" s="12">
        <v>818</v>
      </c>
      <c r="M37" s="12">
        <v>2039</v>
      </c>
      <c r="N37" s="11">
        <f>SUM(B37:M37)/12</f>
        <v>939.66666666666663</v>
      </c>
      <c r="O37" s="12"/>
    </row>
    <row r="38" spans="1:15" ht="12" customHeight="1" x14ac:dyDescent="0.15">
      <c r="A38" s="5" t="s">
        <v>6</v>
      </c>
      <c r="B38" s="13">
        <v>2146</v>
      </c>
      <c r="C38" s="13">
        <v>1907</v>
      </c>
      <c r="D38" s="13">
        <v>1700</v>
      </c>
      <c r="E38" s="13">
        <v>1811</v>
      </c>
      <c r="F38" s="13">
        <v>572</v>
      </c>
      <c r="G38" s="13">
        <v>339</v>
      </c>
      <c r="H38" s="13">
        <v>209</v>
      </c>
      <c r="I38" s="13">
        <v>248</v>
      </c>
      <c r="J38" s="13">
        <v>261</v>
      </c>
      <c r="K38" s="13">
        <v>424</v>
      </c>
      <c r="L38" s="13">
        <v>983</v>
      </c>
      <c r="M38" s="13">
        <v>1955</v>
      </c>
      <c r="N38" s="13">
        <f t="shared" ref="N38:N52" si="2">SUM(B38:M38)/12</f>
        <v>1046.25</v>
      </c>
      <c r="O38" s="12"/>
    </row>
    <row r="39" spans="1:15" ht="12" customHeight="1" x14ac:dyDescent="0.15">
      <c r="A39" s="2" t="s">
        <v>7</v>
      </c>
      <c r="B39" s="11">
        <v>717</v>
      </c>
      <c r="C39" s="11">
        <v>637</v>
      </c>
      <c r="D39" s="11">
        <v>517</v>
      </c>
      <c r="E39" s="11">
        <v>383</v>
      </c>
      <c r="F39" s="11">
        <v>140</v>
      </c>
      <c r="G39" s="11">
        <v>104</v>
      </c>
      <c r="H39" s="11">
        <v>113</v>
      </c>
      <c r="I39" s="11">
        <v>163</v>
      </c>
      <c r="J39" s="11">
        <v>143</v>
      </c>
      <c r="K39" s="11">
        <v>190</v>
      </c>
      <c r="L39" s="12">
        <v>380</v>
      </c>
      <c r="M39" s="12">
        <v>844</v>
      </c>
      <c r="N39" s="11">
        <f t="shared" si="2"/>
        <v>360.91666666666669</v>
      </c>
      <c r="O39" s="12"/>
    </row>
    <row r="40" spans="1:15" ht="12" customHeight="1" x14ac:dyDescent="0.15">
      <c r="A40" s="2" t="s">
        <v>8</v>
      </c>
      <c r="B40" s="11">
        <v>384</v>
      </c>
      <c r="C40" s="11">
        <v>389</v>
      </c>
      <c r="D40" s="11">
        <v>453</v>
      </c>
      <c r="E40" s="11">
        <v>251</v>
      </c>
      <c r="F40" s="11">
        <v>134</v>
      </c>
      <c r="G40" s="11">
        <v>128</v>
      </c>
      <c r="H40" s="11">
        <v>138</v>
      </c>
      <c r="I40" s="11">
        <v>166</v>
      </c>
      <c r="J40" s="11">
        <v>162</v>
      </c>
      <c r="K40" s="11">
        <v>278</v>
      </c>
      <c r="L40" s="12">
        <v>398</v>
      </c>
      <c r="M40" s="12">
        <v>499</v>
      </c>
      <c r="N40" s="11">
        <f t="shared" si="2"/>
        <v>281.66666666666669</v>
      </c>
      <c r="O40" s="12"/>
    </row>
    <row r="41" spans="1:15" ht="12" customHeight="1" x14ac:dyDescent="0.15">
      <c r="A41" s="2" t="s">
        <v>9</v>
      </c>
      <c r="B41" s="11">
        <v>508</v>
      </c>
      <c r="C41" s="11">
        <v>470</v>
      </c>
      <c r="D41" s="11">
        <v>435</v>
      </c>
      <c r="E41" s="11">
        <v>222</v>
      </c>
      <c r="F41" s="11">
        <v>83</v>
      </c>
      <c r="G41" s="11">
        <v>51</v>
      </c>
      <c r="H41" s="11">
        <v>65</v>
      </c>
      <c r="I41" s="11">
        <v>66</v>
      </c>
      <c r="J41" s="11">
        <v>100</v>
      </c>
      <c r="K41" s="11">
        <v>224</v>
      </c>
      <c r="L41" s="12">
        <v>438</v>
      </c>
      <c r="M41" s="12">
        <v>919</v>
      </c>
      <c r="N41" s="11">
        <f t="shared" si="2"/>
        <v>298.41666666666669</v>
      </c>
      <c r="O41" s="12"/>
    </row>
    <row r="42" spans="1:15" ht="12" customHeight="1" x14ac:dyDescent="0.15">
      <c r="A42" s="2" t="s">
        <v>10</v>
      </c>
      <c r="B42" s="11">
        <v>513</v>
      </c>
      <c r="C42" s="11">
        <v>436</v>
      </c>
      <c r="D42" s="11">
        <v>523</v>
      </c>
      <c r="E42" s="11">
        <v>322</v>
      </c>
      <c r="F42" s="11">
        <v>100</v>
      </c>
      <c r="G42" s="11">
        <v>94</v>
      </c>
      <c r="H42" s="11">
        <v>74</v>
      </c>
      <c r="I42" s="11">
        <v>101</v>
      </c>
      <c r="J42" s="11">
        <v>166</v>
      </c>
      <c r="K42" s="11">
        <v>232</v>
      </c>
      <c r="L42" s="12">
        <v>390</v>
      </c>
      <c r="M42" s="12">
        <v>570</v>
      </c>
      <c r="N42" s="11">
        <f t="shared" si="2"/>
        <v>293.41666666666669</v>
      </c>
      <c r="O42" s="12"/>
    </row>
    <row r="43" spans="1:15" ht="12" customHeight="1" x14ac:dyDescent="0.15">
      <c r="A43" s="5" t="s">
        <v>11</v>
      </c>
      <c r="B43" s="13">
        <v>425</v>
      </c>
      <c r="C43" s="13">
        <v>323</v>
      </c>
      <c r="D43" s="13">
        <v>206</v>
      </c>
      <c r="E43" s="13">
        <v>147</v>
      </c>
      <c r="F43" s="13">
        <v>66</v>
      </c>
      <c r="G43" s="13">
        <v>40</v>
      </c>
      <c r="H43" s="13">
        <v>48</v>
      </c>
      <c r="I43" s="13">
        <v>50</v>
      </c>
      <c r="J43" s="13">
        <v>84</v>
      </c>
      <c r="K43" s="13">
        <v>138</v>
      </c>
      <c r="L43" s="13">
        <v>255</v>
      </c>
      <c r="M43" s="13">
        <v>407</v>
      </c>
      <c r="N43" s="13">
        <f t="shared" si="2"/>
        <v>182.41666666666666</v>
      </c>
      <c r="O43" s="12"/>
    </row>
    <row r="44" spans="1:15" ht="12" customHeight="1" x14ac:dyDescent="0.15">
      <c r="A44" s="2" t="s">
        <v>12</v>
      </c>
      <c r="B44" s="11">
        <v>1443</v>
      </c>
      <c r="C44" s="11">
        <v>1900</v>
      </c>
      <c r="D44" s="11">
        <v>1138</v>
      </c>
      <c r="E44" s="11">
        <v>1352</v>
      </c>
      <c r="F44" s="11">
        <v>567</v>
      </c>
      <c r="G44" s="11">
        <v>1042</v>
      </c>
      <c r="H44" s="11">
        <v>454</v>
      </c>
      <c r="I44" s="11">
        <v>704</v>
      </c>
      <c r="J44" s="11">
        <v>799</v>
      </c>
      <c r="K44" s="11">
        <v>922</v>
      </c>
      <c r="L44" s="12">
        <v>1515</v>
      </c>
      <c r="M44" s="12">
        <v>2111</v>
      </c>
      <c r="N44" s="11">
        <f t="shared" si="2"/>
        <v>1162.25</v>
      </c>
      <c r="O44" s="12"/>
    </row>
    <row r="45" spans="1:15" ht="12" customHeight="1" x14ac:dyDescent="0.15">
      <c r="A45" s="2" t="s">
        <v>13</v>
      </c>
      <c r="B45" s="11">
        <v>2528</v>
      </c>
      <c r="C45" s="11">
        <v>2964</v>
      </c>
      <c r="D45" s="11">
        <v>2326</v>
      </c>
      <c r="E45" s="11">
        <v>2019</v>
      </c>
      <c r="F45" s="11">
        <v>860</v>
      </c>
      <c r="G45" s="11">
        <v>817</v>
      </c>
      <c r="H45" s="11">
        <v>679</v>
      </c>
      <c r="I45" s="11">
        <v>967</v>
      </c>
      <c r="J45" s="11">
        <v>1175</v>
      </c>
      <c r="K45" s="11">
        <v>1603</v>
      </c>
      <c r="L45" s="12">
        <v>2071</v>
      </c>
      <c r="M45" s="12">
        <v>3064</v>
      </c>
      <c r="N45" s="11">
        <f t="shared" si="2"/>
        <v>1756.0833333333333</v>
      </c>
      <c r="O45" s="12"/>
    </row>
    <row r="46" spans="1:15" ht="12" customHeight="1" x14ac:dyDescent="0.15">
      <c r="A46" s="2" t="s">
        <v>32</v>
      </c>
      <c r="B46" s="11">
        <v>686</v>
      </c>
      <c r="C46" s="11">
        <v>710</v>
      </c>
      <c r="D46" s="11">
        <v>464</v>
      </c>
      <c r="E46" s="11">
        <v>391</v>
      </c>
      <c r="F46" s="11">
        <v>108</v>
      </c>
      <c r="G46" s="11">
        <v>82</v>
      </c>
      <c r="H46" s="11">
        <v>64</v>
      </c>
      <c r="I46" s="11">
        <v>142</v>
      </c>
      <c r="J46" s="11">
        <v>175</v>
      </c>
      <c r="K46" s="11">
        <v>270</v>
      </c>
      <c r="L46" s="12">
        <v>591</v>
      </c>
      <c r="M46" s="12">
        <v>1201</v>
      </c>
      <c r="N46" s="11">
        <f t="shared" si="2"/>
        <v>407</v>
      </c>
      <c r="O46" s="12"/>
    </row>
    <row r="47" spans="1:15" ht="12" customHeight="1" x14ac:dyDescent="0.15">
      <c r="A47" s="5" t="s">
        <v>33</v>
      </c>
      <c r="B47" s="14">
        <v>2005</v>
      </c>
      <c r="C47" s="14">
        <v>1214</v>
      </c>
      <c r="D47" s="14">
        <v>1465</v>
      </c>
      <c r="E47" s="14">
        <v>1517</v>
      </c>
      <c r="F47" s="14">
        <v>757</v>
      </c>
      <c r="G47" s="14">
        <v>473</v>
      </c>
      <c r="H47" s="14">
        <v>249</v>
      </c>
      <c r="I47" s="14">
        <v>581</v>
      </c>
      <c r="J47" s="14">
        <v>819</v>
      </c>
      <c r="K47" s="14">
        <v>1051</v>
      </c>
      <c r="L47" s="14">
        <v>1385</v>
      </c>
      <c r="M47" s="13">
        <v>2438</v>
      </c>
      <c r="N47" s="13">
        <f t="shared" si="2"/>
        <v>1162.8333333333333</v>
      </c>
      <c r="O47" s="12"/>
    </row>
    <row r="48" spans="1:15" ht="12" customHeight="1" x14ac:dyDescent="0.15">
      <c r="A48" s="2" t="s">
        <v>34</v>
      </c>
      <c r="B48" s="11">
        <v>1849</v>
      </c>
      <c r="C48" s="11">
        <v>1609</v>
      </c>
      <c r="D48" s="11">
        <v>1545</v>
      </c>
      <c r="E48" s="11">
        <v>1501</v>
      </c>
      <c r="F48" s="11">
        <v>623</v>
      </c>
      <c r="G48" s="11">
        <v>829</v>
      </c>
      <c r="H48" s="11">
        <v>273</v>
      </c>
      <c r="I48" s="11">
        <v>458</v>
      </c>
      <c r="J48" s="11">
        <v>733</v>
      </c>
      <c r="K48" s="11">
        <v>983</v>
      </c>
      <c r="L48" s="12">
        <v>1302</v>
      </c>
      <c r="M48" s="12">
        <v>1980</v>
      </c>
      <c r="N48" s="11">
        <f t="shared" si="2"/>
        <v>1140.4166666666667</v>
      </c>
      <c r="O48" s="12"/>
    </row>
    <row r="49" spans="1:16" ht="12" customHeight="1" x14ac:dyDescent="0.15">
      <c r="A49" s="2" t="s">
        <v>35</v>
      </c>
      <c r="B49" s="11">
        <v>1360</v>
      </c>
      <c r="C49" s="11">
        <v>1220</v>
      </c>
      <c r="D49" s="11">
        <v>1218</v>
      </c>
      <c r="E49" s="11">
        <v>1380</v>
      </c>
      <c r="F49" s="11">
        <v>512</v>
      </c>
      <c r="G49" s="11">
        <v>269</v>
      </c>
      <c r="H49" s="11">
        <v>180</v>
      </c>
      <c r="I49" s="11">
        <v>273</v>
      </c>
      <c r="J49" s="11">
        <v>348</v>
      </c>
      <c r="K49" s="11">
        <v>495</v>
      </c>
      <c r="L49" s="12">
        <v>860</v>
      </c>
      <c r="M49" s="12">
        <v>1961</v>
      </c>
      <c r="N49" s="11">
        <f t="shared" si="2"/>
        <v>839.66666666666663</v>
      </c>
      <c r="O49" s="12"/>
    </row>
    <row r="50" spans="1:16" ht="12" customHeight="1" x14ac:dyDescent="0.15">
      <c r="A50" s="2" t="s">
        <v>14</v>
      </c>
      <c r="B50" s="11">
        <v>3105</v>
      </c>
      <c r="C50" s="11">
        <v>2084</v>
      </c>
      <c r="D50" s="11">
        <v>1866</v>
      </c>
      <c r="E50" s="11">
        <v>2316</v>
      </c>
      <c r="F50" s="11">
        <v>991</v>
      </c>
      <c r="G50" s="11">
        <v>506</v>
      </c>
      <c r="H50" s="11">
        <v>326</v>
      </c>
      <c r="I50" s="11">
        <v>777</v>
      </c>
      <c r="J50" s="11">
        <v>1020</v>
      </c>
      <c r="K50" s="11">
        <v>1858</v>
      </c>
      <c r="L50" s="12">
        <v>2405</v>
      </c>
      <c r="M50" s="12">
        <v>4628</v>
      </c>
      <c r="N50" s="11">
        <f t="shared" si="2"/>
        <v>1823.5</v>
      </c>
      <c r="O50" s="12"/>
    </row>
    <row r="51" spans="1:16" ht="12" customHeight="1" x14ac:dyDescent="0.15">
      <c r="A51" s="2" t="s">
        <v>15</v>
      </c>
      <c r="B51" s="11">
        <v>2329</v>
      </c>
      <c r="C51" s="11">
        <v>1977</v>
      </c>
      <c r="D51" s="11">
        <v>1598</v>
      </c>
      <c r="E51" s="11">
        <v>1596</v>
      </c>
      <c r="F51" s="11">
        <v>702</v>
      </c>
      <c r="G51" s="11">
        <v>251</v>
      </c>
      <c r="H51" s="11">
        <v>115</v>
      </c>
      <c r="I51" s="11">
        <v>350</v>
      </c>
      <c r="J51" s="11">
        <v>575</v>
      </c>
      <c r="K51" s="11">
        <v>886</v>
      </c>
      <c r="L51" s="12">
        <v>1456</v>
      </c>
      <c r="M51" s="12">
        <v>2669</v>
      </c>
      <c r="N51" s="11">
        <f t="shared" si="2"/>
        <v>1208.6666666666667</v>
      </c>
      <c r="O51" s="12"/>
    </row>
    <row r="52" spans="1:16" ht="12" customHeight="1" x14ac:dyDescent="0.15">
      <c r="A52" s="2" t="s">
        <v>16</v>
      </c>
      <c r="B52" s="11">
        <v>1786</v>
      </c>
      <c r="C52" s="11">
        <v>1671</v>
      </c>
      <c r="D52" s="11">
        <v>1223</v>
      </c>
      <c r="E52" s="11">
        <v>946</v>
      </c>
      <c r="F52" s="11">
        <v>453</v>
      </c>
      <c r="G52" s="11">
        <v>117</v>
      </c>
      <c r="H52" s="11">
        <v>37</v>
      </c>
      <c r="I52" s="11">
        <v>50</v>
      </c>
      <c r="J52" s="11">
        <v>122</v>
      </c>
      <c r="K52" s="11">
        <v>536</v>
      </c>
      <c r="L52" s="12">
        <v>929</v>
      </c>
      <c r="M52" s="12">
        <v>2237</v>
      </c>
      <c r="N52" s="11">
        <f t="shared" si="2"/>
        <v>842.25</v>
      </c>
      <c r="O52" s="12"/>
    </row>
    <row r="53" spans="1:16" ht="12" customHeight="1" x14ac:dyDescent="0.15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2"/>
      <c r="M53" s="12"/>
      <c r="N53" s="11"/>
      <c r="O53" s="12"/>
      <c r="P53" s="10"/>
    </row>
    <row r="54" spans="1:16" ht="12" customHeight="1" x14ac:dyDescent="0.15">
      <c r="A54" s="6" t="s">
        <v>17</v>
      </c>
      <c r="B54" s="15">
        <f t="shared" ref="B54:M54" si="3">SUM(B34:B52)</f>
        <v>25537</v>
      </c>
      <c r="C54" s="15">
        <f t="shared" si="3"/>
        <v>23331</v>
      </c>
      <c r="D54" s="15">
        <f t="shared" si="3"/>
        <v>20298</v>
      </c>
      <c r="E54" s="15">
        <f t="shared" si="3"/>
        <v>20085</v>
      </c>
      <c r="F54" s="15">
        <f t="shared" si="3"/>
        <v>8034</v>
      </c>
      <c r="G54" s="15">
        <f t="shared" si="3"/>
        <v>5856</v>
      </c>
      <c r="H54" s="15">
        <f t="shared" si="3"/>
        <v>3839</v>
      </c>
      <c r="I54" s="15">
        <f t="shared" si="3"/>
        <v>6105</v>
      </c>
      <c r="J54" s="15">
        <f t="shared" si="3"/>
        <v>7836</v>
      </c>
      <c r="K54" s="15">
        <f t="shared" si="3"/>
        <v>11756</v>
      </c>
      <c r="L54" s="15">
        <f t="shared" si="3"/>
        <v>17743</v>
      </c>
      <c r="M54" s="15">
        <f t="shared" si="3"/>
        <v>31788</v>
      </c>
      <c r="N54" s="15">
        <f>SUM(B54:M54)/12</f>
        <v>15184</v>
      </c>
      <c r="O54" s="12"/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zoomScale="75" zoomScaleNormal="75" zoomScaleSheetLayoutView="80" workbookViewId="0">
      <selection activeCell="C20" sqref="C20"/>
    </sheetView>
  </sheetViews>
  <sheetFormatPr baseColWidth="10" defaultColWidth="9.33203125" defaultRowHeight="12" customHeight="1" x14ac:dyDescent="0.15"/>
  <cols>
    <col min="1" max="1" width="18" style="2" customWidth="1"/>
    <col min="2" max="13" width="8.33203125" style="2" customWidth="1"/>
    <col min="14" max="14" width="8.33203125" style="4" customWidth="1"/>
    <col min="15" max="19" width="8.33203125" style="2" customWidth="1"/>
    <col min="20" max="21" width="8.83203125" style="2" customWidth="1"/>
    <col min="22" max="16384" width="9.33203125" style="2"/>
  </cols>
  <sheetData>
    <row r="1" spans="1:15" ht="12" customHeight="1" x14ac:dyDescent="0.15">
      <c r="A1" s="2" t="s">
        <v>0</v>
      </c>
    </row>
    <row r="2" spans="1:15" ht="12" customHeight="1" x14ac:dyDescent="0.15">
      <c r="A2" s="1" t="s">
        <v>31</v>
      </c>
    </row>
    <row r="3" spans="1:15" ht="12" customHeight="1" x14ac:dyDescent="0.15">
      <c r="A3" s="7">
        <v>1963</v>
      </c>
    </row>
    <row r="4" spans="1:15" ht="12" customHeight="1" x14ac:dyDescent="0.15">
      <c r="A4" s="3" t="s">
        <v>1</v>
      </c>
      <c r="B4" s="3" t="s">
        <v>23</v>
      </c>
      <c r="C4" s="3" t="s">
        <v>24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8" t="s">
        <v>30</v>
      </c>
    </row>
    <row r="6" spans="1:15" ht="12" customHeight="1" x14ac:dyDescent="0.15">
      <c r="A6" s="2" t="s">
        <v>2</v>
      </c>
      <c r="B6" s="11">
        <v>1930</v>
      </c>
      <c r="C6" s="11">
        <v>1824</v>
      </c>
      <c r="D6" s="11">
        <v>1313</v>
      </c>
      <c r="E6" s="11">
        <v>866</v>
      </c>
      <c r="F6" s="11">
        <v>464</v>
      </c>
      <c r="G6" s="11">
        <v>298</v>
      </c>
      <c r="H6" s="11">
        <v>393</v>
      </c>
      <c r="I6" s="11">
        <v>620</v>
      </c>
      <c r="J6" s="11">
        <v>570</v>
      </c>
      <c r="K6" s="11">
        <v>719</v>
      </c>
      <c r="L6" s="12">
        <v>810</v>
      </c>
      <c r="M6" s="12">
        <v>1109</v>
      </c>
      <c r="N6" s="11">
        <f t="shared" ref="N6:N24" si="0">SUM(B6:M6)/12</f>
        <v>909.66666666666663</v>
      </c>
      <c r="O6" s="12"/>
    </row>
    <row r="7" spans="1:15" ht="12" customHeight="1" x14ac:dyDescent="0.15">
      <c r="A7" s="2" t="s">
        <v>3</v>
      </c>
      <c r="B7" s="11">
        <v>873</v>
      </c>
      <c r="C7" s="11">
        <v>798</v>
      </c>
      <c r="D7" s="11">
        <v>584</v>
      </c>
      <c r="E7" s="11">
        <v>369</v>
      </c>
      <c r="F7" s="11">
        <v>179</v>
      </c>
      <c r="G7" s="11">
        <v>69</v>
      </c>
      <c r="H7" s="11">
        <v>98</v>
      </c>
      <c r="I7" s="11">
        <v>181</v>
      </c>
      <c r="J7" s="11">
        <v>129</v>
      </c>
      <c r="K7" s="11">
        <v>163</v>
      </c>
      <c r="L7" s="12">
        <v>271</v>
      </c>
      <c r="M7" s="12">
        <v>403</v>
      </c>
      <c r="N7" s="11">
        <f t="shared" si="0"/>
        <v>343.08333333333331</v>
      </c>
      <c r="O7" s="12"/>
    </row>
    <row r="8" spans="1:15" ht="12" customHeight="1" x14ac:dyDescent="0.15">
      <c r="A8" s="2" t="s">
        <v>4</v>
      </c>
      <c r="B8" s="11">
        <v>1278</v>
      </c>
      <c r="C8" s="11">
        <v>1403</v>
      </c>
      <c r="D8" s="11">
        <v>1031</v>
      </c>
      <c r="E8" s="11">
        <v>857</v>
      </c>
      <c r="F8" s="11">
        <v>417</v>
      </c>
      <c r="G8" s="11">
        <v>350</v>
      </c>
      <c r="H8" s="11">
        <v>460</v>
      </c>
      <c r="I8" s="11">
        <v>502</v>
      </c>
      <c r="J8" s="11">
        <v>615</v>
      </c>
      <c r="K8" s="11">
        <v>645</v>
      </c>
      <c r="L8" s="12">
        <v>771</v>
      </c>
      <c r="M8" s="12">
        <v>895</v>
      </c>
      <c r="N8" s="11">
        <f t="shared" si="0"/>
        <v>768.66666666666663</v>
      </c>
      <c r="O8" s="12"/>
    </row>
    <row r="9" spans="1:15" ht="12" customHeight="1" x14ac:dyDescent="0.15">
      <c r="A9" s="2" t="s">
        <v>5</v>
      </c>
      <c r="B9" s="11">
        <v>3035</v>
      </c>
      <c r="C9" s="11">
        <v>2307</v>
      </c>
      <c r="D9" s="11">
        <v>1763</v>
      </c>
      <c r="E9" s="11">
        <v>2557</v>
      </c>
      <c r="F9" s="11">
        <v>620</v>
      </c>
      <c r="G9" s="11">
        <v>171</v>
      </c>
      <c r="H9" s="11">
        <v>137</v>
      </c>
      <c r="I9" s="11">
        <v>234</v>
      </c>
      <c r="J9" s="11">
        <v>227</v>
      </c>
      <c r="K9" s="11">
        <v>335</v>
      </c>
      <c r="L9" s="12">
        <v>892</v>
      </c>
      <c r="M9" s="12">
        <v>2272</v>
      </c>
      <c r="N9" s="11">
        <f t="shared" si="0"/>
        <v>1212.5</v>
      </c>
      <c r="O9" s="12"/>
    </row>
    <row r="10" spans="1:15" ht="12" customHeight="1" x14ac:dyDescent="0.15">
      <c r="A10" s="5" t="s">
        <v>6</v>
      </c>
      <c r="B10" s="13">
        <v>2474</v>
      </c>
      <c r="C10" s="13">
        <v>2091</v>
      </c>
      <c r="D10" s="13">
        <v>1520</v>
      </c>
      <c r="E10" s="13">
        <v>1327</v>
      </c>
      <c r="F10" s="13">
        <v>409</v>
      </c>
      <c r="G10" s="13">
        <v>244</v>
      </c>
      <c r="H10" s="13">
        <v>180</v>
      </c>
      <c r="I10" s="13">
        <v>212</v>
      </c>
      <c r="J10" s="13">
        <v>216</v>
      </c>
      <c r="K10" s="13">
        <v>323</v>
      </c>
      <c r="L10" s="13">
        <v>1006</v>
      </c>
      <c r="M10" s="13">
        <v>1949</v>
      </c>
      <c r="N10" s="13">
        <f t="shared" si="0"/>
        <v>995.91666666666663</v>
      </c>
      <c r="O10" s="12"/>
    </row>
    <row r="11" spans="1:15" ht="12" customHeight="1" x14ac:dyDescent="0.15">
      <c r="A11" s="2" t="s">
        <v>7</v>
      </c>
      <c r="B11" s="11">
        <v>1580</v>
      </c>
      <c r="C11" s="11">
        <v>1388</v>
      </c>
      <c r="D11" s="11">
        <v>890</v>
      </c>
      <c r="E11" s="11">
        <v>553</v>
      </c>
      <c r="F11" s="11">
        <v>232</v>
      </c>
      <c r="G11" s="11">
        <v>192</v>
      </c>
      <c r="H11" s="11">
        <v>349</v>
      </c>
      <c r="I11" s="11">
        <v>308</v>
      </c>
      <c r="J11" s="11">
        <v>283</v>
      </c>
      <c r="K11" s="11">
        <v>283</v>
      </c>
      <c r="L11" s="12">
        <v>546</v>
      </c>
      <c r="M11" s="12">
        <v>921</v>
      </c>
      <c r="N11" s="11">
        <f t="shared" si="0"/>
        <v>627.08333333333337</v>
      </c>
      <c r="O11" s="12"/>
    </row>
    <row r="12" spans="1:15" ht="12" customHeight="1" x14ac:dyDescent="0.15">
      <c r="A12" s="2" t="s">
        <v>8</v>
      </c>
      <c r="B12" s="11">
        <v>736</v>
      </c>
      <c r="C12" s="11">
        <v>785</v>
      </c>
      <c r="D12" s="11">
        <v>914</v>
      </c>
      <c r="E12" s="11">
        <v>609</v>
      </c>
      <c r="F12" s="11">
        <v>204</v>
      </c>
      <c r="G12" s="11">
        <v>121</v>
      </c>
      <c r="H12" s="11">
        <v>125</v>
      </c>
      <c r="I12" s="11">
        <v>134</v>
      </c>
      <c r="J12" s="11">
        <v>179</v>
      </c>
      <c r="K12" s="11">
        <v>212</v>
      </c>
      <c r="L12" s="12">
        <v>365</v>
      </c>
      <c r="M12" s="12">
        <v>464</v>
      </c>
      <c r="N12" s="11">
        <f t="shared" si="0"/>
        <v>404</v>
      </c>
      <c r="O12" s="12"/>
    </row>
    <row r="13" spans="1:15" ht="12" customHeight="1" x14ac:dyDescent="0.15">
      <c r="A13" s="2" t="s">
        <v>9</v>
      </c>
      <c r="B13" s="11">
        <v>1441</v>
      </c>
      <c r="C13" s="11">
        <v>1115</v>
      </c>
      <c r="D13" s="11">
        <v>733</v>
      </c>
      <c r="E13" s="11">
        <v>425</v>
      </c>
      <c r="F13" s="11">
        <v>152</v>
      </c>
      <c r="G13" s="11">
        <v>113</v>
      </c>
      <c r="H13" s="11">
        <v>119</v>
      </c>
      <c r="I13" s="11">
        <v>189</v>
      </c>
      <c r="J13" s="11">
        <v>220</v>
      </c>
      <c r="K13" s="11">
        <v>191</v>
      </c>
      <c r="L13" s="12">
        <v>464</v>
      </c>
      <c r="M13" s="12">
        <v>863</v>
      </c>
      <c r="N13" s="11">
        <f t="shared" si="0"/>
        <v>502.08333333333331</v>
      </c>
      <c r="O13" s="12"/>
    </row>
    <row r="14" spans="1:15" ht="12" customHeight="1" x14ac:dyDescent="0.15">
      <c r="A14" s="2" t="s">
        <v>10</v>
      </c>
      <c r="B14" s="11">
        <v>878</v>
      </c>
      <c r="C14" s="11">
        <v>784</v>
      </c>
      <c r="D14" s="11">
        <v>584</v>
      </c>
      <c r="E14" s="11">
        <v>283</v>
      </c>
      <c r="F14" s="11">
        <v>109</v>
      </c>
      <c r="G14" s="11">
        <v>86</v>
      </c>
      <c r="H14" s="11">
        <v>167</v>
      </c>
      <c r="I14" s="11">
        <v>177</v>
      </c>
      <c r="J14" s="11">
        <v>206</v>
      </c>
      <c r="K14" s="11">
        <v>270</v>
      </c>
      <c r="L14" s="12">
        <v>389</v>
      </c>
      <c r="M14" s="12">
        <v>566</v>
      </c>
      <c r="N14" s="11">
        <f t="shared" si="0"/>
        <v>374.91666666666669</v>
      </c>
      <c r="O14" s="12"/>
    </row>
    <row r="15" spans="1:15" ht="12" customHeight="1" x14ac:dyDescent="0.15">
      <c r="A15" s="5" t="s">
        <v>11</v>
      </c>
      <c r="B15" s="13">
        <v>498</v>
      </c>
      <c r="C15" s="13">
        <v>556</v>
      </c>
      <c r="D15" s="13">
        <v>558</v>
      </c>
      <c r="E15" s="13">
        <v>191</v>
      </c>
      <c r="F15" s="13">
        <v>66</v>
      </c>
      <c r="G15" s="13">
        <v>40</v>
      </c>
      <c r="H15" s="13">
        <v>42</v>
      </c>
      <c r="I15" s="13">
        <v>67</v>
      </c>
      <c r="J15" s="13">
        <v>88</v>
      </c>
      <c r="K15" s="13">
        <v>168</v>
      </c>
      <c r="L15" s="13">
        <v>279</v>
      </c>
      <c r="M15" s="13">
        <v>525</v>
      </c>
      <c r="N15" s="13">
        <f t="shared" si="0"/>
        <v>256.5</v>
      </c>
      <c r="O15" s="12"/>
    </row>
    <row r="16" spans="1:15" ht="12" customHeight="1" x14ac:dyDescent="0.15">
      <c r="A16" s="2" t="s">
        <v>12</v>
      </c>
      <c r="B16" s="11">
        <v>3063</v>
      </c>
      <c r="C16" s="11">
        <v>3333</v>
      </c>
      <c r="D16" s="11">
        <v>2081</v>
      </c>
      <c r="E16" s="11">
        <v>1802</v>
      </c>
      <c r="F16" s="11">
        <v>953</v>
      </c>
      <c r="G16" s="11">
        <v>1090</v>
      </c>
      <c r="H16" s="11">
        <v>663</v>
      </c>
      <c r="I16" s="11">
        <v>619</v>
      </c>
      <c r="J16" s="11">
        <v>851</v>
      </c>
      <c r="K16" s="11">
        <v>932</v>
      </c>
      <c r="L16" s="12">
        <v>1200</v>
      </c>
      <c r="M16" s="12">
        <v>1873</v>
      </c>
      <c r="N16" s="11">
        <f t="shared" si="0"/>
        <v>1538.3333333333333</v>
      </c>
      <c r="O16" s="12"/>
    </row>
    <row r="17" spans="1:15" ht="12" customHeight="1" x14ac:dyDescent="0.15">
      <c r="A17" s="2" t="s">
        <v>13</v>
      </c>
      <c r="B17" s="11">
        <v>4071</v>
      </c>
      <c r="C17" s="11">
        <v>4344</v>
      </c>
      <c r="D17" s="11">
        <v>2946</v>
      </c>
      <c r="E17" s="11">
        <v>2049</v>
      </c>
      <c r="F17" s="11">
        <v>1230</v>
      </c>
      <c r="G17" s="11">
        <v>692</v>
      </c>
      <c r="H17" s="11">
        <v>710</v>
      </c>
      <c r="I17" s="11">
        <v>949</v>
      </c>
      <c r="J17" s="11">
        <v>1153</v>
      </c>
      <c r="K17" s="11">
        <v>1479</v>
      </c>
      <c r="L17" s="12">
        <v>1815</v>
      </c>
      <c r="M17" s="12">
        <v>2609</v>
      </c>
      <c r="N17" s="11">
        <f t="shared" si="0"/>
        <v>2003.9166666666667</v>
      </c>
      <c r="O17" s="12"/>
    </row>
    <row r="18" spans="1:15" ht="12" customHeight="1" x14ac:dyDescent="0.15">
      <c r="A18" s="2" t="s">
        <v>32</v>
      </c>
      <c r="B18" s="11">
        <v>1333</v>
      </c>
      <c r="C18" s="11">
        <v>1083</v>
      </c>
      <c r="D18" s="11">
        <v>596</v>
      </c>
      <c r="E18" s="11">
        <v>394</v>
      </c>
      <c r="F18" s="11">
        <v>189</v>
      </c>
      <c r="G18" s="11">
        <v>78</v>
      </c>
      <c r="H18" s="11">
        <v>96</v>
      </c>
      <c r="I18" s="11">
        <v>94</v>
      </c>
      <c r="J18" s="11">
        <v>161</v>
      </c>
      <c r="K18" s="11">
        <v>311</v>
      </c>
      <c r="L18" s="12">
        <v>455</v>
      </c>
      <c r="M18" s="12">
        <v>1063</v>
      </c>
      <c r="N18" s="11">
        <f t="shared" si="0"/>
        <v>487.75</v>
      </c>
      <c r="O18" s="12"/>
    </row>
    <row r="19" spans="1:15" ht="12" customHeight="1" x14ac:dyDescent="0.15">
      <c r="A19" s="5" t="s">
        <v>33</v>
      </c>
      <c r="B19" s="14">
        <v>2351</v>
      </c>
      <c r="C19" s="14">
        <v>1482</v>
      </c>
      <c r="D19" s="14">
        <v>1382</v>
      </c>
      <c r="E19" s="14">
        <v>1027</v>
      </c>
      <c r="F19" s="14">
        <v>529</v>
      </c>
      <c r="G19" s="14">
        <v>335</v>
      </c>
      <c r="H19" s="14">
        <v>369</v>
      </c>
      <c r="I19" s="14">
        <v>752</v>
      </c>
      <c r="J19" s="14">
        <v>893</v>
      </c>
      <c r="K19" s="14">
        <v>1138</v>
      </c>
      <c r="L19" s="13">
        <v>1644</v>
      </c>
      <c r="M19" s="13">
        <v>2645</v>
      </c>
      <c r="N19" s="13">
        <f t="shared" si="0"/>
        <v>1212.25</v>
      </c>
      <c r="O19" s="12"/>
    </row>
    <row r="20" spans="1:15" ht="12" customHeight="1" x14ac:dyDescent="0.15">
      <c r="A20" s="2" t="s">
        <v>34</v>
      </c>
      <c r="B20" s="11">
        <v>2395</v>
      </c>
      <c r="C20" s="11">
        <v>2121</v>
      </c>
      <c r="D20" s="11">
        <v>1782</v>
      </c>
      <c r="E20" s="11">
        <v>1479</v>
      </c>
      <c r="F20" s="11">
        <v>709</v>
      </c>
      <c r="G20" s="11">
        <v>862</v>
      </c>
      <c r="H20" s="11">
        <v>307</v>
      </c>
      <c r="I20" s="11">
        <v>590</v>
      </c>
      <c r="J20" s="11">
        <v>721</v>
      </c>
      <c r="K20" s="11">
        <v>1020</v>
      </c>
      <c r="L20" s="12">
        <v>1359</v>
      </c>
      <c r="M20" s="12">
        <v>1971</v>
      </c>
      <c r="N20" s="11">
        <f t="shared" si="0"/>
        <v>1276.3333333333333</v>
      </c>
      <c r="O20" s="12"/>
    </row>
    <row r="21" spans="1:15" ht="12" customHeight="1" x14ac:dyDescent="0.15">
      <c r="A21" s="2" t="s">
        <v>35</v>
      </c>
      <c r="B21" s="11">
        <v>1843</v>
      </c>
      <c r="C21" s="11">
        <v>1334</v>
      </c>
      <c r="D21" s="11">
        <v>1061</v>
      </c>
      <c r="E21" s="11">
        <v>1200</v>
      </c>
      <c r="F21" s="11">
        <v>441</v>
      </c>
      <c r="G21" s="11">
        <v>245</v>
      </c>
      <c r="H21" s="11">
        <v>225</v>
      </c>
      <c r="I21" s="11">
        <v>326</v>
      </c>
      <c r="J21" s="11">
        <v>393</v>
      </c>
      <c r="K21" s="11">
        <v>520</v>
      </c>
      <c r="L21" s="12">
        <v>900</v>
      </c>
      <c r="M21" s="12">
        <v>1847</v>
      </c>
      <c r="N21" s="11">
        <f t="shared" si="0"/>
        <v>861.25</v>
      </c>
      <c r="O21" s="12"/>
    </row>
    <row r="22" spans="1:15" ht="12" customHeight="1" x14ac:dyDescent="0.15">
      <c r="A22" s="2" t="s">
        <v>14</v>
      </c>
      <c r="B22" s="11">
        <v>3971</v>
      </c>
      <c r="C22" s="11">
        <v>2625</v>
      </c>
      <c r="D22" s="11">
        <v>1838</v>
      </c>
      <c r="E22" s="11">
        <v>1709</v>
      </c>
      <c r="F22" s="11">
        <v>697</v>
      </c>
      <c r="G22" s="11">
        <v>322</v>
      </c>
      <c r="H22" s="11">
        <v>388</v>
      </c>
      <c r="I22" s="11">
        <v>778</v>
      </c>
      <c r="J22" s="11">
        <v>1378</v>
      </c>
      <c r="K22" s="11">
        <v>1981</v>
      </c>
      <c r="L22" s="12">
        <v>2606</v>
      </c>
      <c r="M22" s="12">
        <v>4801</v>
      </c>
      <c r="N22" s="11">
        <f t="shared" si="0"/>
        <v>1924.5</v>
      </c>
      <c r="O22" s="12"/>
    </row>
    <row r="23" spans="1:15" ht="12" customHeight="1" x14ac:dyDescent="0.15">
      <c r="A23" s="2" t="s">
        <v>15</v>
      </c>
      <c r="B23" s="11">
        <v>2727</v>
      </c>
      <c r="C23" s="11">
        <v>2073</v>
      </c>
      <c r="D23" s="11">
        <v>1650</v>
      </c>
      <c r="E23" s="11">
        <v>1443</v>
      </c>
      <c r="F23" s="11">
        <v>579</v>
      </c>
      <c r="G23" s="11">
        <v>172</v>
      </c>
      <c r="H23" s="11">
        <v>137</v>
      </c>
      <c r="I23" s="11">
        <v>356</v>
      </c>
      <c r="J23" s="11">
        <v>514</v>
      </c>
      <c r="K23" s="11">
        <v>703</v>
      </c>
      <c r="L23" s="12">
        <v>1287</v>
      </c>
      <c r="M23" s="12">
        <v>2223</v>
      </c>
      <c r="N23" s="11">
        <f t="shared" si="0"/>
        <v>1155.3333333333333</v>
      </c>
      <c r="O23" s="12"/>
    </row>
    <row r="24" spans="1:15" ht="12" customHeight="1" x14ac:dyDescent="0.15">
      <c r="A24" s="2" t="s">
        <v>16</v>
      </c>
      <c r="B24" s="11">
        <v>2127</v>
      </c>
      <c r="C24" s="11">
        <v>1530</v>
      </c>
      <c r="D24" s="11">
        <v>1281</v>
      </c>
      <c r="E24" s="11">
        <v>796</v>
      </c>
      <c r="F24" s="11">
        <v>261</v>
      </c>
      <c r="G24" s="11">
        <v>82</v>
      </c>
      <c r="H24" s="11">
        <v>61</v>
      </c>
      <c r="I24" s="11">
        <v>119</v>
      </c>
      <c r="J24" s="11">
        <v>159</v>
      </c>
      <c r="K24" s="11">
        <v>462</v>
      </c>
      <c r="L24" s="12">
        <v>1127</v>
      </c>
      <c r="M24" s="12">
        <v>2455</v>
      </c>
      <c r="N24" s="11">
        <f t="shared" si="0"/>
        <v>871.66666666666663</v>
      </c>
      <c r="O24" s="12"/>
    </row>
    <row r="25" spans="1:15" ht="12" customHeight="1" x14ac:dyDescent="0.1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2"/>
      <c r="M25" s="12"/>
      <c r="N25" s="11"/>
      <c r="O25" s="12"/>
    </row>
    <row r="26" spans="1:15" ht="12" customHeight="1" x14ac:dyDescent="0.15">
      <c r="A26" s="6" t="s">
        <v>17</v>
      </c>
      <c r="B26" s="15">
        <f t="shared" ref="B26:M26" si="1">SUM(B6:B24)</f>
        <v>38604</v>
      </c>
      <c r="C26" s="15">
        <f t="shared" si="1"/>
        <v>32976</v>
      </c>
      <c r="D26" s="15">
        <f t="shared" si="1"/>
        <v>24507</v>
      </c>
      <c r="E26" s="15">
        <f t="shared" si="1"/>
        <v>19936</v>
      </c>
      <c r="F26" s="15">
        <f t="shared" si="1"/>
        <v>8440</v>
      </c>
      <c r="G26" s="15">
        <f t="shared" si="1"/>
        <v>5562</v>
      </c>
      <c r="H26" s="15">
        <f t="shared" si="1"/>
        <v>5026</v>
      </c>
      <c r="I26" s="15">
        <f t="shared" si="1"/>
        <v>7207</v>
      </c>
      <c r="J26" s="15">
        <f t="shared" si="1"/>
        <v>8956</v>
      </c>
      <c r="K26" s="15">
        <f t="shared" si="1"/>
        <v>11855</v>
      </c>
      <c r="L26" s="15">
        <f t="shared" si="1"/>
        <v>18186</v>
      </c>
      <c r="M26" s="15">
        <f t="shared" si="1"/>
        <v>31454</v>
      </c>
      <c r="N26" s="15">
        <f>SUM(B26:M26)/12</f>
        <v>17725.75</v>
      </c>
      <c r="O26" s="12"/>
    </row>
    <row r="27" spans="1:15" ht="12" customHeight="1" x14ac:dyDescent="0.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5" ht="12" customHeight="1" x14ac:dyDescent="0.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30" spans="1:15" ht="12" customHeight="1" x14ac:dyDescent="0.15">
      <c r="A30" s="1" t="s">
        <v>31</v>
      </c>
    </row>
    <row r="31" spans="1:15" ht="12" customHeight="1" x14ac:dyDescent="0.15">
      <c r="A31" s="7">
        <v>1964</v>
      </c>
    </row>
    <row r="32" spans="1:15" ht="12" customHeight="1" x14ac:dyDescent="0.15">
      <c r="A32" s="3" t="s">
        <v>1</v>
      </c>
      <c r="B32" s="3" t="s">
        <v>23</v>
      </c>
      <c r="C32" s="3" t="s">
        <v>24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29</v>
      </c>
      <c r="N32" s="8" t="s">
        <v>30</v>
      </c>
    </row>
    <row r="34" spans="1:15" ht="12" customHeight="1" x14ac:dyDescent="0.15">
      <c r="A34" s="2" t="s">
        <v>2</v>
      </c>
      <c r="B34" s="11">
        <v>1338</v>
      </c>
      <c r="C34" s="11">
        <v>1312</v>
      </c>
      <c r="D34" s="11">
        <v>1044</v>
      </c>
      <c r="E34" s="11">
        <v>713</v>
      </c>
      <c r="F34" s="11">
        <v>470</v>
      </c>
      <c r="G34" s="11">
        <v>468</v>
      </c>
      <c r="H34" s="11">
        <v>535</v>
      </c>
      <c r="I34" s="11">
        <v>659</v>
      </c>
      <c r="J34" s="11">
        <v>654</v>
      </c>
      <c r="K34" s="11">
        <v>673</v>
      </c>
      <c r="L34" s="12">
        <v>760</v>
      </c>
      <c r="M34" s="12">
        <v>1041</v>
      </c>
      <c r="N34" s="11">
        <f t="shared" ref="N34:N52" si="2">SUM(B34:M34)/12</f>
        <v>805.58333333333337</v>
      </c>
      <c r="O34" s="12"/>
    </row>
    <row r="35" spans="1:15" ht="12" customHeight="1" x14ac:dyDescent="0.15">
      <c r="A35" s="2" t="s">
        <v>3</v>
      </c>
      <c r="B35" s="11">
        <v>661</v>
      </c>
      <c r="C35" s="11">
        <v>646</v>
      </c>
      <c r="D35" s="11">
        <v>537</v>
      </c>
      <c r="E35" s="11">
        <v>315</v>
      </c>
      <c r="F35" s="11">
        <v>216</v>
      </c>
      <c r="G35" s="11">
        <v>168</v>
      </c>
      <c r="H35" s="11">
        <v>180</v>
      </c>
      <c r="I35" s="11">
        <v>261</v>
      </c>
      <c r="J35" s="11">
        <v>236</v>
      </c>
      <c r="K35" s="11">
        <v>191</v>
      </c>
      <c r="L35" s="12">
        <v>301</v>
      </c>
      <c r="M35" s="12">
        <v>390</v>
      </c>
      <c r="N35" s="11">
        <f t="shared" si="2"/>
        <v>341.83333333333331</v>
      </c>
      <c r="O35" s="12"/>
    </row>
    <row r="36" spans="1:15" ht="12" customHeight="1" x14ac:dyDescent="0.15">
      <c r="A36" s="2" t="s">
        <v>4</v>
      </c>
      <c r="B36" s="11">
        <v>1153</v>
      </c>
      <c r="C36" s="11">
        <v>1330</v>
      </c>
      <c r="D36" s="11">
        <v>1219</v>
      </c>
      <c r="E36" s="11">
        <v>878</v>
      </c>
      <c r="F36" s="11">
        <v>617</v>
      </c>
      <c r="G36" s="11">
        <v>552</v>
      </c>
      <c r="H36" s="11">
        <v>456</v>
      </c>
      <c r="I36" s="11">
        <v>627</v>
      </c>
      <c r="J36" s="11">
        <v>586</v>
      </c>
      <c r="K36" s="11">
        <v>649</v>
      </c>
      <c r="L36" s="12">
        <v>809</v>
      </c>
      <c r="M36" s="12">
        <v>866</v>
      </c>
      <c r="N36" s="11">
        <f t="shared" si="2"/>
        <v>811.83333333333337</v>
      </c>
      <c r="O36" s="12"/>
    </row>
    <row r="37" spans="1:15" ht="12" customHeight="1" x14ac:dyDescent="0.15">
      <c r="A37" s="2" t="s">
        <v>5</v>
      </c>
      <c r="B37" s="11">
        <v>2160</v>
      </c>
      <c r="C37" s="11">
        <v>1753</v>
      </c>
      <c r="D37" s="11">
        <v>2179</v>
      </c>
      <c r="E37" s="11">
        <v>2240</v>
      </c>
      <c r="F37" s="11">
        <v>522</v>
      </c>
      <c r="G37" s="11">
        <v>244</v>
      </c>
      <c r="H37" s="11">
        <v>248</v>
      </c>
      <c r="I37" s="11">
        <v>290</v>
      </c>
      <c r="J37" s="11">
        <v>260</v>
      </c>
      <c r="K37" s="11">
        <v>416</v>
      </c>
      <c r="L37" s="12">
        <v>790</v>
      </c>
      <c r="M37" s="12">
        <v>2107</v>
      </c>
      <c r="N37" s="11">
        <f t="shared" si="2"/>
        <v>1100.75</v>
      </c>
      <c r="O37" s="12"/>
    </row>
    <row r="38" spans="1:15" ht="12" customHeight="1" x14ac:dyDescent="0.15">
      <c r="A38" s="5" t="s">
        <v>6</v>
      </c>
      <c r="B38" s="13">
        <v>1946</v>
      </c>
      <c r="C38" s="13">
        <v>1623</v>
      </c>
      <c r="D38" s="13">
        <v>1529</v>
      </c>
      <c r="E38" s="13">
        <v>1040</v>
      </c>
      <c r="F38" s="13">
        <v>430</v>
      </c>
      <c r="G38" s="13">
        <v>331</v>
      </c>
      <c r="H38" s="13">
        <v>248</v>
      </c>
      <c r="I38" s="13">
        <v>343</v>
      </c>
      <c r="J38" s="13">
        <v>319</v>
      </c>
      <c r="K38" s="13">
        <v>463</v>
      </c>
      <c r="L38" s="13">
        <v>939</v>
      </c>
      <c r="M38" s="13">
        <v>1758</v>
      </c>
      <c r="N38" s="13">
        <f t="shared" si="2"/>
        <v>914.08333333333337</v>
      </c>
      <c r="O38" s="12"/>
    </row>
    <row r="39" spans="1:15" ht="12" customHeight="1" x14ac:dyDescent="0.15">
      <c r="A39" s="2" t="s">
        <v>7</v>
      </c>
      <c r="B39" s="11">
        <v>979</v>
      </c>
      <c r="C39" s="11">
        <v>911</v>
      </c>
      <c r="D39" s="11">
        <v>744</v>
      </c>
      <c r="E39" s="11">
        <v>416</v>
      </c>
      <c r="F39" s="11">
        <v>201</v>
      </c>
      <c r="G39" s="11">
        <v>217</v>
      </c>
      <c r="H39" s="11">
        <v>201</v>
      </c>
      <c r="I39" s="11">
        <v>259</v>
      </c>
      <c r="J39" s="11">
        <v>249</v>
      </c>
      <c r="K39" s="11">
        <v>299</v>
      </c>
      <c r="L39" s="12">
        <v>436</v>
      </c>
      <c r="M39" s="12">
        <v>664</v>
      </c>
      <c r="N39" s="11">
        <f t="shared" si="2"/>
        <v>464.66666666666669</v>
      </c>
      <c r="O39" s="12"/>
    </row>
    <row r="40" spans="1:15" ht="12" customHeight="1" x14ac:dyDescent="0.15">
      <c r="A40" s="2" t="s">
        <v>8</v>
      </c>
      <c r="B40" s="11">
        <v>677</v>
      </c>
      <c r="C40" s="11">
        <v>613</v>
      </c>
      <c r="D40" s="11">
        <v>507</v>
      </c>
      <c r="E40" s="11">
        <v>216</v>
      </c>
      <c r="F40" s="11">
        <v>113</v>
      </c>
      <c r="G40" s="11">
        <v>146</v>
      </c>
      <c r="H40" s="11">
        <v>153</v>
      </c>
      <c r="I40" s="11">
        <v>220</v>
      </c>
      <c r="J40" s="11">
        <v>168</v>
      </c>
      <c r="K40" s="11">
        <v>194</v>
      </c>
      <c r="L40" s="12">
        <v>243</v>
      </c>
      <c r="M40" s="12">
        <v>315</v>
      </c>
      <c r="N40" s="11">
        <f t="shared" si="2"/>
        <v>297.08333333333331</v>
      </c>
      <c r="O40" s="12"/>
    </row>
    <row r="41" spans="1:15" ht="12" customHeight="1" x14ac:dyDescent="0.15">
      <c r="A41" s="2" t="s">
        <v>9</v>
      </c>
      <c r="B41" s="11">
        <v>1168</v>
      </c>
      <c r="C41" s="11">
        <v>997</v>
      </c>
      <c r="D41" s="11">
        <v>771</v>
      </c>
      <c r="E41" s="11">
        <v>488</v>
      </c>
      <c r="F41" s="11">
        <v>231</v>
      </c>
      <c r="G41" s="11">
        <v>159</v>
      </c>
      <c r="H41" s="11">
        <v>154</v>
      </c>
      <c r="I41" s="11">
        <v>197</v>
      </c>
      <c r="J41" s="11">
        <v>269</v>
      </c>
      <c r="K41" s="11">
        <v>288</v>
      </c>
      <c r="L41" s="12">
        <v>469</v>
      </c>
      <c r="M41" s="12">
        <v>835</v>
      </c>
      <c r="N41" s="11">
        <f t="shared" si="2"/>
        <v>502.16666666666669</v>
      </c>
      <c r="O41" s="12"/>
    </row>
    <row r="42" spans="1:15" ht="12" customHeight="1" x14ac:dyDescent="0.15">
      <c r="A42" s="2" t="s">
        <v>10</v>
      </c>
      <c r="B42" s="11">
        <v>585</v>
      </c>
      <c r="C42" s="11">
        <v>480</v>
      </c>
      <c r="D42" s="11">
        <v>404</v>
      </c>
      <c r="E42" s="11">
        <v>276</v>
      </c>
      <c r="F42" s="11">
        <v>127</v>
      </c>
      <c r="G42" s="11">
        <v>128</v>
      </c>
      <c r="H42" s="11">
        <v>175</v>
      </c>
      <c r="I42" s="11">
        <v>223</v>
      </c>
      <c r="J42" s="11">
        <v>222</v>
      </c>
      <c r="K42" s="11">
        <v>256</v>
      </c>
      <c r="L42" s="12">
        <v>306</v>
      </c>
      <c r="M42" s="12">
        <v>433</v>
      </c>
      <c r="N42" s="11">
        <f t="shared" si="2"/>
        <v>301.25</v>
      </c>
      <c r="O42" s="12"/>
    </row>
    <row r="43" spans="1:15" ht="12" customHeight="1" x14ac:dyDescent="0.15">
      <c r="A43" s="5" t="s">
        <v>11</v>
      </c>
      <c r="B43" s="13">
        <v>496</v>
      </c>
      <c r="C43" s="13">
        <v>428</v>
      </c>
      <c r="D43" s="13">
        <v>356</v>
      </c>
      <c r="E43" s="13">
        <v>204</v>
      </c>
      <c r="F43" s="13">
        <v>95</v>
      </c>
      <c r="G43" s="13">
        <v>44</v>
      </c>
      <c r="H43" s="13">
        <v>50</v>
      </c>
      <c r="I43" s="13">
        <v>86</v>
      </c>
      <c r="J43" s="13">
        <v>101</v>
      </c>
      <c r="K43" s="13">
        <v>156</v>
      </c>
      <c r="L43" s="13">
        <v>215</v>
      </c>
      <c r="M43" s="13">
        <v>442</v>
      </c>
      <c r="N43" s="13">
        <f t="shared" si="2"/>
        <v>222.75</v>
      </c>
      <c r="O43" s="12"/>
    </row>
    <row r="44" spans="1:15" ht="12" customHeight="1" x14ac:dyDescent="0.15">
      <c r="A44" s="2" t="s">
        <v>12</v>
      </c>
      <c r="B44" s="11">
        <v>1878</v>
      </c>
      <c r="C44" s="11">
        <v>1498</v>
      </c>
      <c r="D44" s="11">
        <v>1644</v>
      </c>
      <c r="E44" s="11">
        <v>1154</v>
      </c>
      <c r="F44" s="11">
        <v>450</v>
      </c>
      <c r="G44" s="11">
        <v>508</v>
      </c>
      <c r="H44" s="11">
        <v>537</v>
      </c>
      <c r="I44" s="11">
        <v>764</v>
      </c>
      <c r="J44" s="11">
        <v>873</v>
      </c>
      <c r="K44" s="11">
        <v>1070</v>
      </c>
      <c r="L44" s="12">
        <v>1107</v>
      </c>
      <c r="M44" s="12">
        <v>1662</v>
      </c>
      <c r="N44" s="11">
        <f t="shared" si="2"/>
        <v>1095.4166666666667</v>
      </c>
      <c r="O44" s="12"/>
    </row>
    <row r="45" spans="1:15" ht="12" customHeight="1" x14ac:dyDescent="0.15">
      <c r="A45" s="2" t="s">
        <v>13</v>
      </c>
      <c r="B45" s="11">
        <v>2657</v>
      </c>
      <c r="C45" s="11">
        <v>2344</v>
      </c>
      <c r="D45" s="11">
        <v>2125</v>
      </c>
      <c r="E45" s="11">
        <v>1571</v>
      </c>
      <c r="F45" s="11">
        <v>810</v>
      </c>
      <c r="G45" s="11">
        <v>671</v>
      </c>
      <c r="H45" s="11">
        <v>613</v>
      </c>
      <c r="I45" s="11">
        <v>865</v>
      </c>
      <c r="J45" s="11">
        <v>1013</v>
      </c>
      <c r="K45" s="11">
        <v>1060</v>
      </c>
      <c r="L45" s="12">
        <v>1200</v>
      </c>
      <c r="M45" s="12">
        <v>1723</v>
      </c>
      <c r="N45" s="11">
        <f t="shared" si="2"/>
        <v>1387.6666666666667</v>
      </c>
      <c r="O45" s="12"/>
    </row>
    <row r="46" spans="1:15" ht="12" customHeight="1" x14ac:dyDescent="0.15">
      <c r="A46" s="2" t="s">
        <v>32</v>
      </c>
      <c r="B46" s="11">
        <v>943</v>
      </c>
      <c r="C46" s="11">
        <v>662</v>
      </c>
      <c r="D46" s="11">
        <v>433</v>
      </c>
      <c r="E46" s="11">
        <v>235</v>
      </c>
      <c r="F46" s="11">
        <v>128</v>
      </c>
      <c r="G46" s="11">
        <v>93</v>
      </c>
      <c r="H46" s="11">
        <v>95</v>
      </c>
      <c r="I46" s="11">
        <v>120</v>
      </c>
      <c r="J46" s="11">
        <v>166</v>
      </c>
      <c r="K46" s="11">
        <v>214</v>
      </c>
      <c r="L46" s="12">
        <v>425</v>
      </c>
      <c r="M46" s="12">
        <v>947</v>
      </c>
      <c r="N46" s="11">
        <f t="shared" si="2"/>
        <v>371.75</v>
      </c>
      <c r="O46" s="12"/>
    </row>
    <row r="47" spans="1:15" ht="12" customHeight="1" x14ac:dyDescent="0.15">
      <c r="A47" s="5" t="s">
        <v>33</v>
      </c>
      <c r="B47" s="14">
        <v>2276</v>
      </c>
      <c r="C47" s="14">
        <v>1112</v>
      </c>
      <c r="D47" s="14">
        <v>1086</v>
      </c>
      <c r="E47" s="14">
        <v>682</v>
      </c>
      <c r="F47" s="14">
        <v>514</v>
      </c>
      <c r="G47" s="14">
        <v>345</v>
      </c>
      <c r="H47" s="14">
        <v>299</v>
      </c>
      <c r="I47" s="14">
        <v>491</v>
      </c>
      <c r="J47" s="14">
        <v>611</v>
      </c>
      <c r="K47" s="14">
        <v>812</v>
      </c>
      <c r="L47" s="13">
        <v>1043</v>
      </c>
      <c r="M47" s="13">
        <v>2095</v>
      </c>
      <c r="N47" s="13">
        <f t="shared" si="2"/>
        <v>947.16666666666663</v>
      </c>
      <c r="O47" s="12"/>
    </row>
    <row r="48" spans="1:15" ht="12" customHeight="1" x14ac:dyDescent="0.15">
      <c r="A48" s="2" t="s">
        <v>34</v>
      </c>
      <c r="B48" s="11">
        <v>2024</v>
      </c>
      <c r="C48" s="11">
        <v>1689</v>
      </c>
      <c r="D48" s="11">
        <v>1360</v>
      </c>
      <c r="E48" s="11">
        <v>1046</v>
      </c>
      <c r="F48" s="11">
        <v>502</v>
      </c>
      <c r="G48" s="11">
        <v>427</v>
      </c>
      <c r="H48" s="11">
        <v>298</v>
      </c>
      <c r="I48" s="11">
        <v>472</v>
      </c>
      <c r="J48" s="11">
        <v>699</v>
      </c>
      <c r="K48" s="11">
        <v>803</v>
      </c>
      <c r="L48" s="12">
        <v>1308</v>
      </c>
      <c r="M48" s="12">
        <v>1613</v>
      </c>
      <c r="N48" s="13">
        <f t="shared" si="2"/>
        <v>1020.0833333333334</v>
      </c>
      <c r="O48" s="12"/>
    </row>
    <row r="49" spans="1:15" ht="12" customHeight="1" x14ac:dyDescent="0.15">
      <c r="A49" s="2" t="s">
        <v>35</v>
      </c>
      <c r="B49" s="11">
        <v>1684</v>
      </c>
      <c r="C49" s="11">
        <v>1337</v>
      </c>
      <c r="D49" s="11">
        <v>1177</v>
      </c>
      <c r="E49" s="11">
        <v>817</v>
      </c>
      <c r="F49" s="11">
        <v>389</v>
      </c>
      <c r="G49" s="11">
        <v>338</v>
      </c>
      <c r="H49" s="11">
        <v>229</v>
      </c>
      <c r="I49" s="11">
        <v>350</v>
      </c>
      <c r="J49" s="11">
        <v>459</v>
      </c>
      <c r="K49" s="11">
        <v>518</v>
      </c>
      <c r="L49" s="12">
        <v>816</v>
      </c>
      <c r="M49" s="12">
        <v>1549</v>
      </c>
      <c r="N49" s="11">
        <f t="shared" si="2"/>
        <v>805.25</v>
      </c>
      <c r="O49" s="12"/>
    </row>
    <row r="50" spans="1:15" ht="12" customHeight="1" x14ac:dyDescent="0.15">
      <c r="A50" s="2" t="s">
        <v>14</v>
      </c>
      <c r="B50" s="11">
        <v>4544</v>
      </c>
      <c r="C50" s="11">
        <v>3175</v>
      </c>
      <c r="D50" s="11">
        <v>2672</v>
      </c>
      <c r="E50" s="11">
        <v>2201</v>
      </c>
      <c r="F50" s="11">
        <v>1137</v>
      </c>
      <c r="G50" s="11">
        <v>640</v>
      </c>
      <c r="H50" s="11">
        <v>566</v>
      </c>
      <c r="I50" s="11">
        <v>910</v>
      </c>
      <c r="J50" s="11">
        <v>1165</v>
      </c>
      <c r="K50" s="11">
        <v>1821</v>
      </c>
      <c r="L50" s="12">
        <v>2709</v>
      </c>
      <c r="M50" s="12">
        <v>4386</v>
      </c>
      <c r="N50" s="11">
        <f t="shared" si="2"/>
        <v>2160.5</v>
      </c>
      <c r="O50" s="12"/>
    </row>
    <row r="51" spans="1:15" ht="12" customHeight="1" x14ac:dyDescent="0.15">
      <c r="A51" s="2" t="s">
        <v>15</v>
      </c>
      <c r="B51" s="11">
        <v>2539</v>
      </c>
      <c r="C51" s="11">
        <v>2049</v>
      </c>
      <c r="D51" s="11">
        <v>1413</v>
      </c>
      <c r="E51" s="11">
        <v>1066</v>
      </c>
      <c r="F51" s="11">
        <v>548</v>
      </c>
      <c r="G51" s="11">
        <v>255</v>
      </c>
      <c r="H51" s="11">
        <v>146</v>
      </c>
      <c r="I51" s="11">
        <v>314</v>
      </c>
      <c r="J51" s="11">
        <v>452</v>
      </c>
      <c r="K51" s="11">
        <v>767</v>
      </c>
      <c r="L51" s="12">
        <v>1234</v>
      </c>
      <c r="M51" s="12">
        <v>2077</v>
      </c>
      <c r="N51" s="11">
        <f t="shared" si="2"/>
        <v>1071.6666666666667</v>
      </c>
      <c r="O51" s="12"/>
    </row>
    <row r="52" spans="1:15" ht="12" customHeight="1" x14ac:dyDescent="0.15">
      <c r="A52" s="2" t="s">
        <v>16</v>
      </c>
      <c r="B52" s="11">
        <v>2131</v>
      </c>
      <c r="C52" s="11">
        <v>1759</v>
      </c>
      <c r="D52" s="11">
        <v>1160</v>
      </c>
      <c r="E52" s="11">
        <v>842</v>
      </c>
      <c r="F52" s="11">
        <v>465</v>
      </c>
      <c r="G52" s="11">
        <v>162</v>
      </c>
      <c r="H52" s="11">
        <v>74</v>
      </c>
      <c r="I52" s="11">
        <v>122</v>
      </c>
      <c r="J52" s="11">
        <v>217</v>
      </c>
      <c r="K52" s="11">
        <v>664</v>
      </c>
      <c r="L52" s="12">
        <v>1186</v>
      </c>
      <c r="M52" s="12">
        <v>2242</v>
      </c>
      <c r="N52" s="11">
        <f t="shared" si="2"/>
        <v>918.66666666666663</v>
      </c>
      <c r="O52" s="12"/>
    </row>
    <row r="53" spans="1:15" ht="12" customHeight="1" x14ac:dyDescent="0.15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2"/>
      <c r="M53" s="12"/>
      <c r="N53" s="11"/>
      <c r="O53" s="12"/>
    </row>
    <row r="54" spans="1:15" ht="12" customHeight="1" x14ac:dyDescent="0.15">
      <c r="A54" s="6" t="s">
        <v>17</v>
      </c>
      <c r="B54" s="15">
        <f t="shared" ref="B54:M54" si="3">SUM(B34:B52)</f>
        <v>31839</v>
      </c>
      <c r="C54" s="15">
        <f t="shared" si="3"/>
        <v>25718</v>
      </c>
      <c r="D54" s="15">
        <f t="shared" si="3"/>
        <v>22360</v>
      </c>
      <c r="E54" s="15">
        <f t="shared" si="3"/>
        <v>16400</v>
      </c>
      <c r="F54" s="15">
        <f t="shared" si="3"/>
        <v>7965</v>
      </c>
      <c r="G54" s="15">
        <f t="shared" si="3"/>
        <v>5896</v>
      </c>
      <c r="H54" s="15">
        <f t="shared" si="3"/>
        <v>5257</v>
      </c>
      <c r="I54" s="15">
        <f t="shared" si="3"/>
        <v>7573</v>
      </c>
      <c r="J54" s="15">
        <f t="shared" si="3"/>
        <v>8719</v>
      </c>
      <c r="K54" s="15">
        <f t="shared" si="3"/>
        <v>11314</v>
      </c>
      <c r="L54" s="15">
        <f t="shared" si="3"/>
        <v>16296</v>
      </c>
      <c r="M54" s="15">
        <f t="shared" si="3"/>
        <v>27145</v>
      </c>
      <c r="N54" s="15">
        <f>SUM(B54:M54)/12</f>
        <v>15540.166666666666</v>
      </c>
      <c r="O54" s="12"/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zoomScale="75" zoomScaleNormal="75" zoomScaleSheetLayoutView="80" workbookViewId="0">
      <selection activeCell="E2" sqref="E2"/>
    </sheetView>
  </sheetViews>
  <sheetFormatPr baseColWidth="10" defaultColWidth="9.33203125" defaultRowHeight="12" customHeight="1" x14ac:dyDescent="0.15"/>
  <cols>
    <col min="1" max="1" width="18" style="2" customWidth="1"/>
    <col min="2" max="13" width="8.33203125" style="2" customWidth="1"/>
    <col min="14" max="14" width="8.33203125" style="4" customWidth="1"/>
    <col min="15" max="19" width="8.33203125" style="2" customWidth="1"/>
    <col min="20" max="21" width="8.83203125" style="2" customWidth="1"/>
    <col min="22" max="16384" width="9.33203125" style="2"/>
  </cols>
  <sheetData>
    <row r="1" spans="1:14" ht="12" customHeight="1" x14ac:dyDescent="0.15">
      <c r="A1" s="2" t="s">
        <v>0</v>
      </c>
    </row>
    <row r="2" spans="1:14" ht="12" customHeight="1" x14ac:dyDescent="0.15">
      <c r="A2" s="1" t="s">
        <v>31</v>
      </c>
    </row>
    <row r="3" spans="1:14" ht="12" customHeight="1" x14ac:dyDescent="0.15">
      <c r="A3" s="7">
        <v>1965</v>
      </c>
    </row>
    <row r="4" spans="1:14" ht="12" customHeight="1" x14ac:dyDescent="0.15">
      <c r="A4" s="3" t="s">
        <v>1</v>
      </c>
      <c r="B4" s="3" t="s">
        <v>23</v>
      </c>
      <c r="C4" s="3" t="s">
        <v>24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8" t="s">
        <v>30</v>
      </c>
    </row>
    <row r="5" spans="1:14" ht="12" customHeight="1" x14ac:dyDescent="0.15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1"/>
    </row>
    <row r="6" spans="1:14" ht="12" customHeight="1" x14ac:dyDescent="0.15">
      <c r="A6" s="2" t="s">
        <v>2</v>
      </c>
      <c r="B6" s="11">
        <v>1321</v>
      </c>
      <c r="C6" s="11">
        <v>1238</v>
      </c>
      <c r="D6" s="11">
        <v>1014</v>
      </c>
      <c r="E6" s="11">
        <v>627</v>
      </c>
      <c r="F6" s="11">
        <v>391</v>
      </c>
      <c r="G6" s="11">
        <v>336</v>
      </c>
      <c r="H6" s="11">
        <v>361</v>
      </c>
      <c r="I6" s="11">
        <v>471</v>
      </c>
      <c r="J6" s="11">
        <v>490</v>
      </c>
      <c r="K6" s="11">
        <v>631</v>
      </c>
      <c r="L6" s="12">
        <v>762</v>
      </c>
      <c r="M6" s="12">
        <v>971</v>
      </c>
      <c r="N6" s="11">
        <f t="shared" ref="N6:N24" si="0">SUM(B6:M6)/12</f>
        <v>717.75</v>
      </c>
    </row>
    <row r="7" spans="1:14" ht="12" customHeight="1" x14ac:dyDescent="0.15">
      <c r="A7" s="2" t="s">
        <v>3</v>
      </c>
      <c r="B7" s="11">
        <v>532</v>
      </c>
      <c r="C7" s="11">
        <v>452</v>
      </c>
      <c r="D7" s="11">
        <v>379</v>
      </c>
      <c r="E7" s="11">
        <v>320</v>
      </c>
      <c r="F7" s="11">
        <v>146</v>
      </c>
      <c r="G7" s="11">
        <v>91</v>
      </c>
      <c r="H7" s="11">
        <v>113</v>
      </c>
      <c r="I7" s="11">
        <v>217</v>
      </c>
      <c r="J7" s="11">
        <v>176</v>
      </c>
      <c r="K7" s="11">
        <v>189</v>
      </c>
      <c r="L7" s="12">
        <v>257</v>
      </c>
      <c r="M7" s="12">
        <v>393</v>
      </c>
      <c r="N7" s="11">
        <f t="shared" si="0"/>
        <v>272.08333333333331</v>
      </c>
    </row>
    <row r="8" spans="1:14" ht="12" customHeight="1" x14ac:dyDescent="0.15">
      <c r="A8" s="2" t="s">
        <v>4</v>
      </c>
      <c r="B8" s="11">
        <v>944</v>
      </c>
      <c r="C8" s="11">
        <v>910</v>
      </c>
      <c r="D8" s="11">
        <v>736</v>
      </c>
      <c r="E8" s="11">
        <v>536</v>
      </c>
      <c r="F8" s="11">
        <v>303</v>
      </c>
      <c r="G8" s="11">
        <v>275</v>
      </c>
      <c r="H8" s="11">
        <v>220</v>
      </c>
      <c r="I8" s="11">
        <v>366</v>
      </c>
      <c r="J8" s="11">
        <v>442</v>
      </c>
      <c r="K8" s="11">
        <v>417</v>
      </c>
      <c r="L8" s="12">
        <v>588</v>
      </c>
      <c r="M8" s="12">
        <v>531</v>
      </c>
      <c r="N8" s="11">
        <f t="shared" si="0"/>
        <v>522.33333333333337</v>
      </c>
    </row>
    <row r="9" spans="1:14" ht="12" customHeight="1" x14ac:dyDescent="0.15">
      <c r="A9" s="2" t="s">
        <v>5</v>
      </c>
      <c r="B9" s="11">
        <v>1958</v>
      </c>
      <c r="C9" s="11">
        <v>1832</v>
      </c>
      <c r="D9" s="11">
        <v>1920</v>
      </c>
      <c r="E9" s="11">
        <v>2576</v>
      </c>
      <c r="F9" s="11">
        <v>552</v>
      </c>
      <c r="G9" s="11">
        <v>300</v>
      </c>
      <c r="H9" s="11">
        <v>206</v>
      </c>
      <c r="I9" s="11">
        <v>291</v>
      </c>
      <c r="J9" s="11">
        <v>267</v>
      </c>
      <c r="K9" s="11">
        <v>390</v>
      </c>
      <c r="L9" s="12">
        <v>840</v>
      </c>
      <c r="M9" s="12">
        <v>2109</v>
      </c>
      <c r="N9" s="11">
        <f t="shared" si="0"/>
        <v>1103.4166666666667</v>
      </c>
    </row>
    <row r="10" spans="1:14" ht="12" customHeight="1" x14ac:dyDescent="0.15">
      <c r="A10" s="5" t="s">
        <v>6</v>
      </c>
      <c r="B10" s="13">
        <v>2027</v>
      </c>
      <c r="C10" s="13">
        <v>1710</v>
      </c>
      <c r="D10" s="13">
        <v>1469</v>
      </c>
      <c r="E10" s="13">
        <v>1291</v>
      </c>
      <c r="F10" s="13">
        <v>496</v>
      </c>
      <c r="G10" s="13">
        <v>224</v>
      </c>
      <c r="H10" s="13">
        <v>188</v>
      </c>
      <c r="I10" s="13">
        <v>227</v>
      </c>
      <c r="J10" s="13">
        <v>227</v>
      </c>
      <c r="K10" s="13">
        <v>346</v>
      </c>
      <c r="L10" s="13">
        <v>797</v>
      </c>
      <c r="M10" s="13">
        <v>1745</v>
      </c>
      <c r="N10" s="13">
        <f t="shared" si="0"/>
        <v>895.58333333333337</v>
      </c>
    </row>
    <row r="11" spans="1:14" ht="12" customHeight="1" x14ac:dyDescent="0.15">
      <c r="A11" s="2" t="s">
        <v>7</v>
      </c>
      <c r="B11" s="11">
        <v>815</v>
      </c>
      <c r="C11" s="11">
        <v>695</v>
      </c>
      <c r="D11" s="11">
        <v>558</v>
      </c>
      <c r="E11" s="11">
        <v>425</v>
      </c>
      <c r="F11" s="11">
        <v>224</v>
      </c>
      <c r="G11" s="11">
        <v>197</v>
      </c>
      <c r="H11" s="11">
        <v>242</v>
      </c>
      <c r="I11" s="11">
        <v>342</v>
      </c>
      <c r="J11" s="11">
        <v>329</v>
      </c>
      <c r="K11" s="11">
        <v>304</v>
      </c>
      <c r="L11" s="12">
        <v>498</v>
      </c>
      <c r="M11" s="12">
        <v>734</v>
      </c>
      <c r="N11" s="11">
        <f t="shared" si="0"/>
        <v>446.91666666666669</v>
      </c>
    </row>
    <row r="12" spans="1:14" ht="12" customHeight="1" x14ac:dyDescent="0.15">
      <c r="A12" s="2" t="s">
        <v>8</v>
      </c>
      <c r="B12" s="11">
        <v>434</v>
      </c>
      <c r="C12" s="11">
        <v>457</v>
      </c>
      <c r="D12" s="11">
        <v>422</v>
      </c>
      <c r="E12" s="11">
        <v>317</v>
      </c>
      <c r="F12" s="11">
        <v>162</v>
      </c>
      <c r="G12" s="11">
        <v>127</v>
      </c>
      <c r="H12" s="11">
        <v>144</v>
      </c>
      <c r="I12" s="11">
        <v>164</v>
      </c>
      <c r="J12" s="11">
        <v>223</v>
      </c>
      <c r="K12" s="11">
        <v>293</v>
      </c>
      <c r="L12" s="12">
        <v>324</v>
      </c>
      <c r="M12" s="12">
        <v>367</v>
      </c>
      <c r="N12" s="11">
        <f t="shared" si="0"/>
        <v>286.16666666666669</v>
      </c>
    </row>
    <row r="13" spans="1:14" ht="12" customHeight="1" x14ac:dyDescent="0.15">
      <c r="A13" s="2" t="s">
        <v>9</v>
      </c>
      <c r="B13" s="11">
        <v>927</v>
      </c>
      <c r="C13" s="11">
        <v>848</v>
      </c>
      <c r="D13" s="11">
        <v>644</v>
      </c>
      <c r="E13" s="11">
        <v>410</v>
      </c>
      <c r="F13" s="11">
        <v>198</v>
      </c>
      <c r="G13" s="11">
        <v>127</v>
      </c>
      <c r="H13" s="11">
        <v>159</v>
      </c>
      <c r="I13" s="11">
        <v>230</v>
      </c>
      <c r="J13" s="11">
        <v>243</v>
      </c>
      <c r="K13" s="11">
        <v>242</v>
      </c>
      <c r="L13" s="12">
        <v>395</v>
      </c>
      <c r="M13" s="12">
        <v>833</v>
      </c>
      <c r="N13" s="11">
        <f t="shared" si="0"/>
        <v>438</v>
      </c>
    </row>
    <row r="14" spans="1:14" ht="12" customHeight="1" x14ac:dyDescent="0.15">
      <c r="A14" s="2" t="s">
        <v>10</v>
      </c>
      <c r="B14" s="11">
        <v>502</v>
      </c>
      <c r="C14" s="11">
        <v>292</v>
      </c>
      <c r="D14" s="11">
        <v>227</v>
      </c>
      <c r="E14" s="11">
        <v>191</v>
      </c>
      <c r="F14" s="11">
        <v>92</v>
      </c>
      <c r="G14" s="11">
        <v>74</v>
      </c>
      <c r="H14" s="11">
        <v>99</v>
      </c>
      <c r="I14" s="11">
        <v>138</v>
      </c>
      <c r="J14" s="11">
        <v>127</v>
      </c>
      <c r="K14" s="11">
        <v>133</v>
      </c>
      <c r="L14" s="12">
        <v>324</v>
      </c>
      <c r="M14" s="12">
        <v>838</v>
      </c>
      <c r="N14" s="11">
        <f t="shared" si="0"/>
        <v>253.08333333333334</v>
      </c>
    </row>
    <row r="15" spans="1:14" ht="12" customHeight="1" x14ac:dyDescent="0.15">
      <c r="A15" s="5" t="s">
        <v>11</v>
      </c>
      <c r="B15" s="13">
        <v>557</v>
      </c>
      <c r="C15" s="13">
        <v>438</v>
      </c>
      <c r="D15" s="13">
        <v>347</v>
      </c>
      <c r="E15" s="13">
        <v>274</v>
      </c>
      <c r="F15" s="13">
        <v>97</v>
      </c>
      <c r="G15" s="13">
        <v>67</v>
      </c>
      <c r="H15" s="13">
        <v>65</v>
      </c>
      <c r="I15" s="13">
        <v>74</v>
      </c>
      <c r="J15" s="13">
        <v>111</v>
      </c>
      <c r="K15" s="13">
        <v>138</v>
      </c>
      <c r="L15" s="13">
        <v>318</v>
      </c>
      <c r="M15" s="13">
        <v>664</v>
      </c>
      <c r="N15" s="13">
        <f t="shared" si="0"/>
        <v>262.5</v>
      </c>
    </row>
    <row r="16" spans="1:14" ht="12" customHeight="1" x14ac:dyDescent="0.15">
      <c r="A16" s="2" t="s">
        <v>12</v>
      </c>
      <c r="B16" s="11">
        <v>2039</v>
      </c>
      <c r="C16" s="11">
        <v>1182</v>
      </c>
      <c r="D16" s="11">
        <v>1200</v>
      </c>
      <c r="E16" s="11">
        <v>1132</v>
      </c>
      <c r="F16" s="11">
        <v>336</v>
      </c>
      <c r="G16" s="11">
        <v>378</v>
      </c>
      <c r="H16" s="11">
        <v>378</v>
      </c>
      <c r="I16" s="11">
        <v>702</v>
      </c>
      <c r="J16" s="11">
        <v>556</v>
      </c>
      <c r="K16" s="11">
        <v>645</v>
      </c>
      <c r="L16" s="12">
        <v>1022</v>
      </c>
      <c r="M16" s="12">
        <v>1598</v>
      </c>
      <c r="N16" s="11">
        <f t="shared" si="0"/>
        <v>930.66666666666663</v>
      </c>
    </row>
    <row r="17" spans="1:14" ht="12" customHeight="1" x14ac:dyDescent="0.15">
      <c r="A17" s="2" t="s">
        <v>13</v>
      </c>
      <c r="B17" s="11">
        <v>2363</v>
      </c>
      <c r="C17" s="11">
        <v>1663</v>
      </c>
      <c r="D17" s="11">
        <v>1687</v>
      </c>
      <c r="E17" s="11">
        <v>1353</v>
      </c>
      <c r="F17" s="11">
        <v>510</v>
      </c>
      <c r="G17" s="11">
        <v>427</v>
      </c>
      <c r="H17" s="11">
        <v>431</v>
      </c>
      <c r="I17" s="11">
        <v>530</v>
      </c>
      <c r="J17" s="11">
        <v>569</v>
      </c>
      <c r="K17" s="11">
        <v>685</v>
      </c>
      <c r="L17" s="12">
        <v>1111</v>
      </c>
      <c r="M17" s="12">
        <v>1909</v>
      </c>
      <c r="N17" s="11">
        <f t="shared" si="0"/>
        <v>1103.1666666666667</v>
      </c>
    </row>
    <row r="18" spans="1:14" ht="12" customHeight="1" x14ac:dyDescent="0.15">
      <c r="A18" s="2" t="s">
        <v>32</v>
      </c>
      <c r="B18" s="11">
        <v>985</v>
      </c>
      <c r="C18" s="11">
        <v>642</v>
      </c>
      <c r="D18" s="11">
        <v>443</v>
      </c>
      <c r="E18" s="11">
        <v>273</v>
      </c>
      <c r="F18" s="11">
        <v>93</v>
      </c>
      <c r="G18" s="11">
        <v>48</v>
      </c>
      <c r="H18" s="11">
        <v>57</v>
      </c>
      <c r="I18" s="11">
        <v>84</v>
      </c>
      <c r="J18" s="11">
        <v>107</v>
      </c>
      <c r="K18" s="11">
        <v>158</v>
      </c>
      <c r="L18" s="12">
        <v>447</v>
      </c>
      <c r="M18" s="12">
        <v>951</v>
      </c>
      <c r="N18" s="11">
        <f t="shared" si="0"/>
        <v>357.33333333333331</v>
      </c>
    </row>
    <row r="19" spans="1:14" ht="12" customHeight="1" x14ac:dyDescent="0.15">
      <c r="A19" s="5" t="s">
        <v>33</v>
      </c>
      <c r="B19" s="14">
        <v>1673</v>
      </c>
      <c r="C19" s="14">
        <v>877</v>
      </c>
      <c r="D19" s="14">
        <v>1165</v>
      </c>
      <c r="E19" s="14">
        <v>643</v>
      </c>
      <c r="F19" s="14">
        <v>300</v>
      </c>
      <c r="G19" s="14">
        <v>286</v>
      </c>
      <c r="H19" s="14">
        <v>221</v>
      </c>
      <c r="I19" s="14">
        <v>343</v>
      </c>
      <c r="J19" s="14">
        <v>409</v>
      </c>
      <c r="K19" s="14">
        <v>509</v>
      </c>
      <c r="L19" s="13">
        <v>679</v>
      </c>
      <c r="M19" s="13">
        <v>1855</v>
      </c>
      <c r="N19" s="13">
        <f t="shared" si="0"/>
        <v>746.66666666666663</v>
      </c>
    </row>
    <row r="20" spans="1:14" ht="12" customHeight="1" x14ac:dyDescent="0.15">
      <c r="A20" s="2" t="s">
        <v>34</v>
      </c>
      <c r="B20" s="11">
        <v>1942</v>
      </c>
      <c r="C20" s="11">
        <v>1762</v>
      </c>
      <c r="D20" s="11">
        <v>1477</v>
      </c>
      <c r="E20" s="11">
        <v>1132</v>
      </c>
      <c r="F20" s="11">
        <v>483</v>
      </c>
      <c r="G20" s="11">
        <v>270</v>
      </c>
      <c r="H20" s="11">
        <v>203</v>
      </c>
      <c r="I20" s="11">
        <v>397</v>
      </c>
      <c r="J20" s="11">
        <v>548</v>
      </c>
      <c r="K20" s="11">
        <v>720</v>
      </c>
      <c r="L20" s="12">
        <v>982</v>
      </c>
      <c r="M20" s="12">
        <v>1329</v>
      </c>
      <c r="N20" s="11">
        <f t="shared" si="0"/>
        <v>937.08333333333337</v>
      </c>
    </row>
    <row r="21" spans="1:14" ht="12" customHeight="1" x14ac:dyDescent="0.15">
      <c r="A21" s="2" t="s">
        <v>35</v>
      </c>
      <c r="B21" s="11">
        <v>1362</v>
      </c>
      <c r="C21" s="11">
        <v>1050</v>
      </c>
      <c r="D21" s="11">
        <v>814</v>
      </c>
      <c r="E21" s="11">
        <v>796</v>
      </c>
      <c r="F21" s="11">
        <v>353</v>
      </c>
      <c r="G21" s="11">
        <v>214</v>
      </c>
      <c r="H21" s="11">
        <v>179</v>
      </c>
      <c r="I21" s="11">
        <v>248</v>
      </c>
      <c r="J21" s="11">
        <v>266</v>
      </c>
      <c r="K21" s="11">
        <v>430</v>
      </c>
      <c r="L21" s="12">
        <v>715</v>
      </c>
      <c r="M21" s="12">
        <v>1383</v>
      </c>
      <c r="N21" s="11">
        <f t="shared" si="0"/>
        <v>650.83333333333337</v>
      </c>
    </row>
    <row r="22" spans="1:14" ht="12" customHeight="1" x14ac:dyDescent="0.15">
      <c r="A22" s="2" t="s">
        <v>14</v>
      </c>
      <c r="B22" s="11">
        <v>3719</v>
      </c>
      <c r="C22" s="11">
        <v>2748</v>
      </c>
      <c r="D22" s="11">
        <v>2248</v>
      </c>
      <c r="E22" s="11">
        <v>1857</v>
      </c>
      <c r="F22" s="11">
        <v>796</v>
      </c>
      <c r="G22" s="11">
        <v>481</v>
      </c>
      <c r="H22" s="11">
        <v>346</v>
      </c>
      <c r="I22" s="11">
        <v>674</v>
      </c>
      <c r="J22" s="11">
        <v>849</v>
      </c>
      <c r="K22" s="11">
        <v>1526</v>
      </c>
      <c r="L22" s="12">
        <v>2425</v>
      </c>
      <c r="M22" s="12">
        <v>4339</v>
      </c>
      <c r="N22" s="11">
        <f t="shared" si="0"/>
        <v>1834</v>
      </c>
    </row>
    <row r="23" spans="1:14" ht="12" customHeight="1" x14ac:dyDescent="0.15">
      <c r="A23" s="2" t="s">
        <v>15</v>
      </c>
      <c r="B23" s="11">
        <v>2138</v>
      </c>
      <c r="C23" s="11">
        <v>1670</v>
      </c>
      <c r="D23" s="11">
        <v>1297</v>
      </c>
      <c r="E23" s="11">
        <v>960</v>
      </c>
      <c r="F23" s="11">
        <v>327</v>
      </c>
      <c r="G23" s="11">
        <v>182</v>
      </c>
      <c r="H23" s="11">
        <v>173</v>
      </c>
      <c r="I23" s="11">
        <v>227</v>
      </c>
      <c r="J23" s="11">
        <v>293</v>
      </c>
      <c r="K23" s="11">
        <v>754</v>
      </c>
      <c r="L23" s="12">
        <v>963</v>
      </c>
      <c r="M23" s="12">
        <v>1664</v>
      </c>
      <c r="N23" s="11">
        <f t="shared" si="0"/>
        <v>887.33333333333337</v>
      </c>
    </row>
    <row r="24" spans="1:14" ht="12" customHeight="1" x14ac:dyDescent="0.15">
      <c r="A24" s="2" t="s">
        <v>16</v>
      </c>
      <c r="B24" s="11">
        <v>1876</v>
      </c>
      <c r="C24" s="11">
        <v>1558</v>
      </c>
      <c r="D24" s="11">
        <v>1082</v>
      </c>
      <c r="E24" s="11">
        <v>608</v>
      </c>
      <c r="F24" s="11">
        <v>316</v>
      </c>
      <c r="G24" s="11">
        <v>95</v>
      </c>
      <c r="H24" s="11">
        <v>33</v>
      </c>
      <c r="I24" s="11">
        <v>56</v>
      </c>
      <c r="J24" s="11">
        <v>122</v>
      </c>
      <c r="K24" s="11">
        <v>286</v>
      </c>
      <c r="L24" s="12">
        <v>752</v>
      </c>
      <c r="M24" s="12">
        <v>1778</v>
      </c>
      <c r="N24" s="11">
        <f t="shared" si="0"/>
        <v>713.5</v>
      </c>
    </row>
    <row r="25" spans="1:14" ht="12" customHeight="1" x14ac:dyDescent="0.1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2"/>
      <c r="M25" s="12"/>
      <c r="N25" s="11"/>
    </row>
    <row r="26" spans="1:14" ht="12" customHeight="1" x14ac:dyDescent="0.15">
      <c r="A26" s="6" t="s">
        <v>17</v>
      </c>
      <c r="B26" s="15">
        <f t="shared" ref="B26:M26" si="1">SUM(B6:B24)</f>
        <v>28114</v>
      </c>
      <c r="C26" s="15">
        <f t="shared" si="1"/>
        <v>22024</v>
      </c>
      <c r="D26" s="15">
        <f t="shared" si="1"/>
        <v>19129</v>
      </c>
      <c r="E26" s="15">
        <f t="shared" si="1"/>
        <v>15721</v>
      </c>
      <c r="F26" s="15">
        <f t="shared" si="1"/>
        <v>6175</v>
      </c>
      <c r="G26" s="15">
        <f t="shared" si="1"/>
        <v>4199</v>
      </c>
      <c r="H26" s="15">
        <f t="shared" si="1"/>
        <v>3818</v>
      </c>
      <c r="I26" s="15">
        <f t="shared" si="1"/>
        <v>5781</v>
      </c>
      <c r="J26" s="15">
        <f t="shared" si="1"/>
        <v>6354</v>
      </c>
      <c r="K26" s="15">
        <f t="shared" si="1"/>
        <v>8796</v>
      </c>
      <c r="L26" s="15">
        <f t="shared" si="1"/>
        <v>14199</v>
      </c>
      <c r="M26" s="15">
        <f t="shared" si="1"/>
        <v>25991</v>
      </c>
      <c r="N26" s="15">
        <f>SUM(B26:M26)/12</f>
        <v>13358.416666666666</v>
      </c>
    </row>
    <row r="27" spans="1:14" ht="12" customHeight="1" x14ac:dyDescent="0.15">
      <c r="A27" s="9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2" customHeight="1" x14ac:dyDescent="0.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30" spans="1:14" ht="12" customHeight="1" x14ac:dyDescent="0.15">
      <c r="A30" s="1" t="s">
        <v>31</v>
      </c>
    </row>
    <row r="31" spans="1:14" ht="12" customHeight="1" x14ac:dyDescent="0.15">
      <c r="A31" s="7">
        <v>1966</v>
      </c>
    </row>
    <row r="32" spans="1:14" ht="12" customHeight="1" x14ac:dyDescent="0.15">
      <c r="A32" s="3" t="s">
        <v>1</v>
      </c>
      <c r="B32" s="3" t="s">
        <v>23</v>
      </c>
      <c r="C32" s="3" t="s">
        <v>24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29</v>
      </c>
      <c r="N32" s="8" t="s">
        <v>30</v>
      </c>
    </row>
    <row r="34" spans="1:15" ht="12" customHeight="1" x14ac:dyDescent="0.15">
      <c r="A34" s="2" t="s">
        <v>2</v>
      </c>
      <c r="B34" s="11">
        <v>1271</v>
      </c>
      <c r="C34" s="11">
        <v>1653</v>
      </c>
      <c r="D34" s="11">
        <v>1659</v>
      </c>
      <c r="E34" s="11">
        <v>1230</v>
      </c>
      <c r="F34" s="11">
        <v>673</v>
      </c>
      <c r="G34" s="11">
        <v>569</v>
      </c>
      <c r="H34" s="11">
        <v>455</v>
      </c>
      <c r="I34" s="11">
        <v>675</v>
      </c>
      <c r="J34" s="11">
        <v>668</v>
      </c>
      <c r="K34" s="11">
        <v>668</v>
      </c>
      <c r="L34" s="12">
        <v>777</v>
      </c>
      <c r="M34" s="12">
        <v>894</v>
      </c>
      <c r="N34" s="11">
        <f t="shared" ref="N34:N52" si="2">SUM(B34:M34)/12</f>
        <v>932.66666666666663</v>
      </c>
      <c r="O34" s="12"/>
    </row>
    <row r="35" spans="1:15" ht="12" customHeight="1" x14ac:dyDescent="0.15">
      <c r="A35" s="2" t="s">
        <v>3</v>
      </c>
      <c r="B35" s="11">
        <v>759</v>
      </c>
      <c r="C35" s="11">
        <v>894</v>
      </c>
      <c r="D35" s="11">
        <v>842</v>
      </c>
      <c r="E35" s="11">
        <v>609</v>
      </c>
      <c r="F35" s="11">
        <v>225</v>
      </c>
      <c r="G35" s="11">
        <v>93</v>
      </c>
      <c r="H35" s="11">
        <v>118</v>
      </c>
      <c r="I35" s="11">
        <v>144</v>
      </c>
      <c r="J35" s="11">
        <v>152</v>
      </c>
      <c r="K35" s="11">
        <v>115</v>
      </c>
      <c r="L35" s="12">
        <v>147</v>
      </c>
      <c r="M35" s="12">
        <v>271</v>
      </c>
      <c r="N35" s="11">
        <f t="shared" si="2"/>
        <v>364.08333333333331</v>
      </c>
      <c r="O35" s="12"/>
    </row>
    <row r="36" spans="1:15" ht="12" customHeight="1" x14ac:dyDescent="0.15">
      <c r="A36" s="2" t="s">
        <v>4</v>
      </c>
      <c r="B36" s="11">
        <v>906</v>
      </c>
      <c r="C36" s="11">
        <v>806</v>
      </c>
      <c r="D36" s="11">
        <v>634</v>
      </c>
      <c r="E36" s="11">
        <v>499</v>
      </c>
      <c r="F36" s="11">
        <v>306</v>
      </c>
      <c r="G36" s="11">
        <v>225</v>
      </c>
      <c r="H36" s="11">
        <v>234</v>
      </c>
      <c r="I36" s="11">
        <v>406</v>
      </c>
      <c r="J36" s="11">
        <v>330</v>
      </c>
      <c r="K36" s="11">
        <v>417</v>
      </c>
      <c r="L36" s="12">
        <v>412</v>
      </c>
      <c r="M36" s="12">
        <v>405</v>
      </c>
      <c r="N36" s="11">
        <f t="shared" si="2"/>
        <v>465</v>
      </c>
      <c r="O36" s="12"/>
    </row>
    <row r="37" spans="1:15" ht="12" customHeight="1" x14ac:dyDescent="0.15">
      <c r="A37" s="2" t="s">
        <v>5</v>
      </c>
      <c r="B37" s="11">
        <v>2369</v>
      </c>
      <c r="C37" s="11">
        <v>2914</v>
      </c>
      <c r="D37" s="11">
        <v>2018</v>
      </c>
      <c r="E37" s="11">
        <v>2201</v>
      </c>
      <c r="F37" s="11">
        <v>915</v>
      </c>
      <c r="G37" s="11">
        <v>225</v>
      </c>
      <c r="H37" s="11">
        <v>140</v>
      </c>
      <c r="I37" s="11">
        <v>183</v>
      </c>
      <c r="J37" s="11">
        <v>188</v>
      </c>
      <c r="K37" s="11">
        <v>244</v>
      </c>
      <c r="L37" s="12">
        <v>493</v>
      </c>
      <c r="M37" s="12">
        <v>1707</v>
      </c>
      <c r="N37" s="11">
        <f t="shared" si="2"/>
        <v>1133.0833333333333</v>
      </c>
      <c r="O37" s="12"/>
    </row>
    <row r="38" spans="1:15" ht="12" customHeight="1" x14ac:dyDescent="0.15">
      <c r="A38" s="5" t="s">
        <v>6</v>
      </c>
      <c r="B38" s="13">
        <v>1712</v>
      </c>
      <c r="C38" s="13">
        <v>1934</v>
      </c>
      <c r="D38" s="13">
        <v>1330</v>
      </c>
      <c r="E38" s="13">
        <v>1064</v>
      </c>
      <c r="F38" s="13">
        <v>386</v>
      </c>
      <c r="G38" s="13">
        <v>229</v>
      </c>
      <c r="H38" s="13">
        <v>136</v>
      </c>
      <c r="I38" s="13">
        <v>186</v>
      </c>
      <c r="J38" s="13">
        <v>168</v>
      </c>
      <c r="K38" s="13">
        <v>249</v>
      </c>
      <c r="L38" s="13">
        <v>544</v>
      </c>
      <c r="M38" s="13">
        <v>1482</v>
      </c>
      <c r="N38" s="13">
        <f t="shared" si="2"/>
        <v>785</v>
      </c>
      <c r="O38" s="12"/>
    </row>
    <row r="39" spans="1:15" ht="12" customHeight="1" x14ac:dyDescent="0.15">
      <c r="A39" s="2" t="s">
        <v>7</v>
      </c>
      <c r="B39" s="11">
        <v>1120</v>
      </c>
      <c r="C39" s="11">
        <v>1121</v>
      </c>
      <c r="D39" s="11">
        <v>863</v>
      </c>
      <c r="E39" s="11">
        <v>533</v>
      </c>
      <c r="F39" s="11">
        <v>204</v>
      </c>
      <c r="G39" s="11">
        <v>132</v>
      </c>
      <c r="H39" s="11">
        <v>117</v>
      </c>
      <c r="I39" s="11">
        <v>257</v>
      </c>
      <c r="J39" s="11">
        <v>165</v>
      </c>
      <c r="K39" s="11">
        <v>194</v>
      </c>
      <c r="L39" s="12">
        <v>341</v>
      </c>
      <c r="M39" s="12">
        <v>601</v>
      </c>
      <c r="N39" s="11">
        <f t="shared" si="2"/>
        <v>470.66666666666669</v>
      </c>
      <c r="O39" s="12"/>
    </row>
    <row r="40" spans="1:15" ht="12" customHeight="1" x14ac:dyDescent="0.15">
      <c r="A40" s="2" t="s">
        <v>8</v>
      </c>
      <c r="B40" s="11">
        <v>620</v>
      </c>
      <c r="C40" s="11">
        <v>622</v>
      </c>
      <c r="D40" s="11">
        <v>458</v>
      </c>
      <c r="E40" s="11">
        <v>296</v>
      </c>
      <c r="F40" s="11">
        <v>127</v>
      </c>
      <c r="G40" s="11">
        <v>64</v>
      </c>
      <c r="H40" s="11">
        <v>72</v>
      </c>
      <c r="I40" s="11">
        <v>141</v>
      </c>
      <c r="J40" s="11">
        <v>116</v>
      </c>
      <c r="K40" s="11">
        <v>122</v>
      </c>
      <c r="L40" s="12">
        <v>135</v>
      </c>
      <c r="M40" s="12">
        <v>223</v>
      </c>
      <c r="N40" s="11">
        <f t="shared" si="2"/>
        <v>249.66666666666666</v>
      </c>
      <c r="O40" s="12"/>
    </row>
    <row r="41" spans="1:15" ht="12" customHeight="1" x14ac:dyDescent="0.15">
      <c r="A41" s="2" t="s">
        <v>9</v>
      </c>
      <c r="B41" s="11">
        <v>1331</v>
      </c>
      <c r="C41" s="11">
        <v>1505</v>
      </c>
      <c r="D41" s="11">
        <v>927</v>
      </c>
      <c r="E41" s="11">
        <v>515</v>
      </c>
      <c r="F41" s="11">
        <v>202</v>
      </c>
      <c r="G41" s="11">
        <v>99</v>
      </c>
      <c r="H41" s="11">
        <v>105</v>
      </c>
      <c r="I41" s="11">
        <v>119</v>
      </c>
      <c r="J41" s="11">
        <v>128</v>
      </c>
      <c r="K41" s="11">
        <v>175</v>
      </c>
      <c r="L41" s="12">
        <v>258</v>
      </c>
      <c r="M41" s="12">
        <v>636</v>
      </c>
      <c r="N41" s="11">
        <f t="shared" si="2"/>
        <v>500</v>
      </c>
      <c r="O41" s="12"/>
    </row>
    <row r="42" spans="1:15" ht="12" customHeight="1" x14ac:dyDescent="0.15">
      <c r="A42" s="2" t="s">
        <v>10</v>
      </c>
      <c r="B42" s="11">
        <v>1257</v>
      </c>
      <c r="C42" s="11">
        <v>1017</v>
      </c>
      <c r="D42" s="11">
        <v>403</v>
      </c>
      <c r="E42" s="11">
        <v>196</v>
      </c>
      <c r="F42" s="11">
        <v>71</v>
      </c>
      <c r="G42" s="11">
        <v>38</v>
      </c>
      <c r="H42" s="11">
        <v>48</v>
      </c>
      <c r="I42" s="11">
        <v>94</v>
      </c>
      <c r="J42" s="11">
        <v>104</v>
      </c>
      <c r="K42" s="11">
        <v>105</v>
      </c>
      <c r="L42" s="12">
        <v>185</v>
      </c>
      <c r="M42" s="12">
        <v>320</v>
      </c>
      <c r="N42" s="11">
        <f t="shared" si="2"/>
        <v>319.83333333333331</v>
      </c>
      <c r="O42" s="12"/>
    </row>
    <row r="43" spans="1:15" ht="12" customHeight="1" x14ac:dyDescent="0.15">
      <c r="A43" s="5" t="s">
        <v>11</v>
      </c>
      <c r="B43" s="13">
        <v>871</v>
      </c>
      <c r="C43" s="13">
        <v>752</v>
      </c>
      <c r="D43" s="13">
        <v>323</v>
      </c>
      <c r="E43" s="13">
        <v>122</v>
      </c>
      <c r="F43" s="13">
        <v>54</v>
      </c>
      <c r="G43" s="13">
        <v>31</v>
      </c>
      <c r="H43" s="13">
        <v>22</v>
      </c>
      <c r="I43" s="13">
        <v>53</v>
      </c>
      <c r="J43" s="13">
        <v>77</v>
      </c>
      <c r="K43" s="13">
        <v>93</v>
      </c>
      <c r="L43" s="13">
        <v>179</v>
      </c>
      <c r="M43" s="13">
        <v>394</v>
      </c>
      <c r="N43" s="13">
        <f t="shared" si="2"/>
        <v>247.58333333333334</v>
      </c>
      <c r="O43" s="12"/>
    </row>
    <row r="44" spans="1:15" ht="12" customHeight="1" x14ac:dyDescent="0.15">
      <c r="A44" s="2" t="s">
        <v>12</v>
      </c>
      <c r="B44" s="11">
        <v>1517</v>
      </c>
      <c r="C44" s="11">
        <v>1406</v>
      </c>
      <c r="D44" s="11">
        <v>732</v>
      </c>
      <c r="E44" s="11">
        <v>529</v>
      </c>
      <c r="F44" s="11">
        <v>224</v>
      </c>
      <c r="G44" s="11">
        <v>261</v>
      </c>
      <c r="H44" s="11">
        <v>249</v>
      </c>
      <c r="I44" s="11">
        <v>372</v>
      </c>
      <c r="J44" s="11">
        <v>380</v>
      </c>
      <c r="K44" s="11">
        <v>412</v>
      </c>
      <c r="L44" s="12">
        <v>490</v>
      </c>
      <c r="M44" s="12">
        <v>672</v>
      </c>
      <c r="N44" s="11">
        <f t="shared" si="2"/>
        <v>603.66666666666663</v>
      </c>
      <c r="O44" s="12"/>
    </row>
    <row r="45" spans="1:15" ht="12" customHeight="1" x14ac:dyDescent="0.15">
      <c r="A45" s="2" t="s">
        <v>13</v>
      </c>
      <c r="B45" s="11">
        <v>2231</v>
      </c>
      <c r="C45" s="11">
        <v>1914</v>
      </c>
      <c r="D45" s="11">
        <v>1072</v>
      </c>
      <c r="E45" s="11">
        <v>878</v>
      </c>
      <c r="F45" s="11">
        <v>476</v>
      </c>
      <c r="G45" s="11">
        <v>360</v>
      </c>
      <c r="H45" s="11">
        <v>283</v>
      </c>
      <c r="I45" s="11">
        <v>390</v>
      </c>
      <c r="J45" s="11">
        <v>467</v>
      </c>
      <c r="K45" s="11">
        <v>511</v>
      </c>
      <c r="L45" s="12">
        <v>643</v>
      </c>
      <c r="M45" s="12">
        <v>1027</v>
      </c>
      <c r="N45" s="11">
        <f t="shared" si="2"/>
        <v>854.33333333333337</v>
      </c>
      <c r="O45" s="12"/>
    </row>
    <row r="46" spans="1:15" ht="12" customHeight="1" x14ac:dyDescent="0.15">
      <c r="A46" s="2" t="s">
        <v>32</v>
      </c>
      <c r="B46" s="11">
        <v>897</v>
      </c>
      <c r="C46" s="11">
        <v>684</v>
      </c>
      <c r="D46" s="11">
        <v>403</v>
      </c>
      <c r="E46" s="11">
        <v>250</v>
      </c>
      <c r="F46" s="11">
        <v>65</v>
      </c>
      <c r="G46" s="11">
        <v>41</v>
      </c>
      <c r="H46" s="11">
        <v>29</v>
      </c>
      <c r="I46" s="11">
        <v>62</v>
      </c>
      <c r="J46" s="11">
        <v>71</v>
      </c>
      <c r="K46" s="11">
        <v>87</v>
      </c>
      <c r="L46" s="12">
        <v>212</v>
      </c>
      <c r="M46" s="12">
        <v>679</v>
      </c>
      <c r="N46" s="11">
        <f t="shared" si="2"/>
        <v>290</v>
      </c>
      <c r="O46" s="12"/>
    </row>
    <row r="47" spans="1:15" ht="12" customHeight="1" x14ac:dyDescent="0.15">
      <c r="A47" s="5" t="s">
        <v>33</v>
      </c>
      <c r="B47" s="14">
        <v>1580</v>
      </c>
      <c r="C47" s="14">
        <v>888</v>
      </c>
      <c r="D47" s="14">
        <v>674</v>
      </c>
      <c r="E47" s="14">
        <v>519</v>
      </c>
      <c r="F47" s="14">
        <v>201</v>
      </c>
      <c r="G47" s="14">
        <v>203</v>
      </c>
      <c r="H47" s="14">
        <v>96</v>
      </c>
      <c r="I47" s="14">
        <v>137</v>
      </c>
      <c r="J47" s="14">
        <v>326</v>
      </c>
      <c r="K47" s="14">
        <v>200</v>
      </c>
      <c r="L47" s="13">
        <v>437</v>
      </c>
      <c r="M47" s="13">
        <v>1106</v>
      </c>
      <c r="N47" s="13">
        <f t="shared" si="2"/>
        <v>530.58333333333337</v>
      </c>
      <c r="O47" s="12"/>
    </row>
    <row r="48" spans="1:15" ht="12" customHeight="1" x14ac:dyDescent="0.15">
      <c r="A48" s="2" t="s">
        <v>34</v>
      </c>
      <c r="B48" s="11">
        <v>1434</v>
      </c>
      <c r="C48" s="11">
        <v>1136</v>
      </c>
      <c r="D48" s="11">
        <v>1024</v>
      </c>
      <c r="E48" s="11">
        <v>875</v>
      </c>
      <c r="F48" s="11">
        <v>284</v>
      </c>
      <c r="G48" s="11">
        <v>215</v>
      </c>
      <c r="H48" s="11">
        <v>222</v>
      </c>
      <c r="I48" s="11">
        <v>352</v>
      </c>
      <c r="J48" s="11">
        <v>393</v>
      </c>
      <c r="K48" s="11">
        <v>489</v>
      </c>
      <c r="L48" s="12">
        <v>723</v>
      </c>
      <c r="M48" s="12">
        <v>907</v>
      </c>
      <c r="N48" s="13">
        <f t="shared" si="2"/>
        <v>671.16666666666663</v>
      </c>
      <c r="O48" s="12"/>
    </row>
    <row r="49" spans="1:15" ht="12" customHeight="1" x14ac:dyDescent="0.15">
      <c r="A49" s="2" t="s">
        <v>35</v>
      </c>
      <c r="B49" s="11">
        <v>1400</v>
      </c>
      <c r="C49" s="11">
        <v>1527</v>
      </c>
      <c r="D49" s="11">
        <v>1042</v>
      </c>
      <c r="E49" s="11">
        <v>815</v>
      </c>
      <c r="F49" s="11">
        <v>342</v>
      </c>
      <c r="G49" s="11">
        <v>137</v>
      </c>
      <c r="H49" s="11">
        <v>128</v>
      </c>
      <c r="I49" s="11">
        <v>151</v>
      </c>
      <c r="J49" s="11">
        <v>158</v>
      </c>
      <c r="K49" s="11">
        <v>335</v>
      </c>
      <c r="L49" s="12">
        <v>542</v>
      </c>
      <c r="M49" s="12">
        <v>1167</v>
      </c>
      <c r="N49" s="11">
        <f t="shared" si="2"/>
        <v>645.33333333333337</v>
      </c>
      <c r="O49" s="12"/>
    </row>
    <row r="50" spans="1:15" ht="12" customHeight="1" x14ac:dyDescent="0.15">
      <c r="A50" s="2" t="s">
        <v>14</v>
      </c>
      <c r="B50" s="11">
        <v>3492</v>
      </c>
      <c r="C50" s="11">
        <v>2596</v>
      </c>
      <c r="D50" s="11">
        <v>1858</v>
      </c>
      <c r="E50" s="11">
        <v>1658</v>
      </c>
      <c r="F50" s="11">
        <v>769</v>
      </c>
      <c r="G50" s="11">
        <v>194</v>
      </c>
      <c r="H50" s="11">
        <v>146</v>
      </c>
      <c r="I50" s="11">
        <v>360</v>
      </c>
      <c r="J50" s="11">
        <v>748</v>
      </c>
      <c r="K50" s="11">
        <v>991</v>
      </c>
      <c r="L50" s="12">
        <v>1688</v>
      </c>
      <c r="M50" s="12">
        <v>3293</v>
      </c>
      <c r="N50" s="11">
        <f t="shared" si="2"/>
        <v>1482.75</v>
      </c>
      <c r="O50" s="12"/>
    </row>
    <row r="51" spans="1:15" ht="12" customHeight="1" x14ac:dyDescent="0.15">
      <c r="A51" s="2" t="s">
        <v>15</v>
      </c>
      <c r="B51" s="11">
        <v>1976</v>
      </c>
      <c r="C51" s="11">
        <v>1594</v>
      </c>
      <c r="D51" s="11">
        <v>1169</v>
      </c>
      <c r="E51" s="11">
        <v>899</v>
      </c>
      <c r="F51" s="11">
        <v>298</v>
      </c>
      <c r="G51" s="11">
        <v>118</v>
      </c>
      <c r="H51" s="11">
        <v>95</v>
      </c>
      <c r="I51" s="11">
        <v>153</v>
      </c>
      <c r="J51" s="11">
        <v>285</v>
      </c>
      <c r="K51" s="11">
        <v>436</v>
      </c>
      <c r="L51" s="12">
        <v>882</v>
      </c>
      <c r="M51" s="12">
        <v>1487</v>
      </c>
      <c r="N51" s="11">
        <f t="shared" si="2"/>
        <v>782.66666666666663</v>
      </c>
      <c r="O51" s="12"/>
    </row>
    <row r="52" spans="1:15" ht="12" customHeight="1" x14ac:dyDescent="0.15">
      <c r="A52" s="2" t="s">
        <v>16</v>
      </c>
      <c r="B52" s="11">
        <v>1657</v>
      </c>
      <c r="C52" s="11">
        <v>1330</v>
      </c>
      <c r="D52" s="11">
        <v>789</v>
      </c>
      <c r="E52" s="11">
        <v>509</v>
      </c>
      <c r="F52" s="11">
        <v>248</v>
      </c>
      <c r="G52" s="11">
        <v>69</v>
      </c>
      <c r="H52" s="11">
        <v>38</v>
      </c>
      <c r="I52" s="11">
        <v>32</v>
      </c>
      <c r="J52" s="11">
        <v>95</v>
      </c>
      <c r="K52" s="11">
        <v>265</v>
      </c>
      <c r="L52" s="12">
        <v>593</v>
      </c>
      <c r="M52" s="12">
        <v>1638</v>
      </c>
      <c r="N52" s="11">
        <f t="shared" si="2"/>
        <v>605.25</v>
      </c>
      <c r="O52" s="12"/>
    </row>
    <row r="53" spans="1:15" ht="12" customHeight="1" x14ac:dyDescent="0.15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2"/>
      <c r="M53" s="12"/>
      <c r="N53" s="11"/>
      <c r="O53" s="12"/>
    </row>
    <row r="54" spans="1:15" ht="12" customHeight="1" x14ac:dyDescent="0.15">
      <c r="A54" s="6" t="s">
        <v>17</v>
      </c>
      <c r="B54" s="15">
        <f t="shared" ref="B54:M54" si="3">SUM(B34:B52)</f>
        <v>28400</v>
      </c>
      <c r="C54" s="15">
        <f t="shared" si="3"/>
        <v>26293</v>
      </c>
      <c r="D54" s="15">
        <f t="shared" si="3"/>
        <v>18220</v>
      </c>
      <c r="E54" s="15">
        <f t="shared" si="3"/>
        <v>14197</v>
      </c>
      <c r="F54" s="15">
        <f t="shared" si="3"/>
        <v>6070</v>
      </c>
      <c r="G54" s="15">
        <f t="shared" si="3"/>
        <v>3303</v>
      </c>
      <c r="H54" s="15">
        <f t="shared" si="3"/>
        <v>2733</v>
      </c>
      <c r="I54" s="15">
        <f t="shared" si="3"/>
        <v>4267</v>
      </c>
      <c r="J54" s="15">
        <f t="shared" si="3"/>
        <v>5019</v>
      </c>
      <c r="K54" s="15">
        <f t="shared" si="3"/>
        <v>6108</v>
      </c>
      <c r="L54" s="15">
        <f t="shared" si="3"/>
        <v>9681</v>
      </c>
      <c r="M54" s="15">
        <f t="shared" si="3"/>
        <v>18909</v>
      </c>
      <c r="N54" s="15">
        <f>SUM(B54:M54)/12</f>
        <v>11933.333333333334</v>
      </c>
      <c r="O54" s="12"/>
    </row>
    <row r="55" spans="1:15" ht="12" customHeight="1" x14ac:dyDescent="0.15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1"/>
      <c r="O55" s="12"/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opLeftCell="A33" zoomScale="75" zoomScaleNormal="75" zoomScaleSheetLayoutView="80" workbookViewId="0">
      <selection activeCell="R34" sqref="R34"/>
    </sheetView>
  </sheetViews>
  <sheetFormatPr baseColWidth="10" defaultColWidth="9.33203125" defaultRowHeight="12" customHeight="1" x14ac:dyDescent="0.15"/>
  <cols>
    <col min="1" max="1" width="18" style="2" customWidth="1"/>
    <col min="2" max="13" width="8.33203125" style="2" customWidth="1"/>
    <col min="14" max="14" width="8.33203125" style="4" customWidth="1"/>
    <col min="15" max="19" width="8.33203125" style="2" customWidth="1"/>
    <col min="20" max="21" width="8.83203125" style="2" customWidth="1"/>
    <col min="22" max="16384" width="9.33203125" style="2"/>
  </cols>
  <sheetData>
    <row r="1" spans="1:15" ht="12" customHeight="1" x14ac:dyDescent="0.15">
      <c r="A1" s="2" t="s">
        <v>0</v>
      </c>
    </row>
    <row r="2" spans="1:15" ht="12" customHeight="1" x14ac:dyDescent="0.15">
      <c r="A2" s="1" t="s">
        <v>31</v>
      </c>
    </row>
    <row r="3" spans="1:15" ht="12" customHeight="1" x14ac:dyDescent="0.15">
      <c r="A3" s="7">
        <v>1967</v>
      </c>
    </row>
    <row r="4" spans="1:15" ht="12" customHeight="1" x14ac:dyDescent="0.15">
      <c r="A4" s="3" t="s">
        <v>1</v>
      </c>
      <c r="B4" s="3" t="s">
        <v>23</v>
      </c>
      <c r="C4" s="3" t="s">
        <v>24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8" t="s">
        <v>30</v>
      </c>
    </row>
    <row r="6" spans="1:15" ht="12" customHeight="1" x14ac:dyDescent="0.15">
      <c r="A6" s="2" t="s">
        <v>2</v>
      </c>
      <c r="B6" s="11">
        <v>1163</v>
      </c>
      <c r="C6" s="11">
        <v>1185</v>
      </c>
      <c r="D6" s="11">
        <v>1035</v>
      </c>
      <c r="E6" s="11">
        <v>724</v>
      </c>
      <c r="F6" s="11">
        <v>668</v>
      </c>
      <c r="G6" s="11">
        <v>471</v>
      </c>
      <c r="H6" s="11">
        <v>383</v>
      </c>
      <c r="I6" s="11">
        <v>644</v>
      </c>
      <c r="J6" s="11">
        <v>600</v>
      </c>
      <c r="K6" s="11">
        <v>596</v>
      </c>
      <c r="L6" s="12">
        <v>722</v>
      </c>
      <c r="M6" s="12">
        <v>1096</v>
      </c>
      <c r="N6" s="11">
        <f t="shared" ref="N6:N24" si="0">SUM(B6:M6)/12</f>
        <v>773.91666666666663</v>
      </c>
      <c r="O6" s="12"/>
    </row>
    <row r="7" spans="1:15" ht="12" customHeight="1" x14ac:dyDescent="0.15">
      <c r="A7" s="2" t="s">
        <v>3</v>
      </c>
      <c r="B7" s="11">
        <v>425</v>
      </c>
      <c r="C7" s="11">
        <v>447</v>
      </c>
      <c r="D7" s="11">
        <v>419</v>
      </c>
      <c r="E7" s="11">
        <v>271</v>
      </c>
      <c r="F7" s="11">
        <v>115</v>
      </c>
      <c r="G7" s="11">
        <v>96</v>
      </c>
      <c r="H7" s="11">
        <v>87</v>
      </c>
      <c r="I7" s="11">
        <v>168</v>
      </c>
      <c r="J7" s="11">
        <v>164</v>
      </c>
      <c r="K7" s="11">
        <v>198</v>
      </c>
      <c r="L7" s="12">
        <v>260</v>
      </c>
      <c r="M7" s="12">
        <v>386</v>
      </c>
      <c r="N7" s="11">
        <f t="shared" si="0"/>
        <v>253</v>
      </c>
      <c r="O7" s="12"/>
    </row>
    <row r="8" spans="1:15" ht="12" customHeight="1" x14ac:dyDescent="0.15">
      <c r="A8" s="2" t="s">
        <v>4</v>
      </c>
      <c r="B8" s="11">
        <v>676</v>
      </c>
      <c r="C8" s="11">
        <v>583</v>
      </c>
      <c r="D8" s="11">
        <v>557</v>
      </c>
      <c r="E8" s="11">
        <v>427</v>
      </c>
      <c r="F8" s="11">
        <v>344</v>
      </c>
      <c r="G8" s="11">
        <v>269</v>
      </c>
      <c r="H8" s="11">
        <v>273</v>
      </c>
      <c r="I8" s="11">
        <v>479</v>
      </c>
      <c r="J8" s="11">
        <v>482</v>
      </c>
      <c r="K8" s="11">
        <v>530</v>
      </c>
      <c r="L8" s="12">
        <v>534</v>
      </c>
      <c r="M8" s="12">
        <v>661</v>
      </c>
      <c r="N8" s="11">
        <f t="shared" si="0"/>
        <v>484.58333333333331</v>
      </c>
      <c r="O8" s="12"/>
    </row>
    <row r="9" spans="1:15" ht="12" customHeight="1" x14ac:dyDescent="0.15">
      <c r="A9" s="2" t="s">
        <v>5</v>
      </c>
      <c r="B9" s="11">
        <v>1817</v>
      </c>
      <c r="C9" s="11">
        <v>1498</v>
      </c>
      <c r="D9" s="11">
        <v>1530</v>
      </c>
      <c r="E9" s="11">
        <v>1639</v>
      </c>
      <c r="F9" s="11">
        <v>672</v>
      </c>
      <c r="G9" s="11">
        <v>357</v>
      </c>
      <c r="H9" s="11">
        <v>260</v>
      </c>
      <c r="I9" s="11">
        <v>350</v>
      </c>
      <c r="J9" s="11">
        <v>315</v>
      </c>
      <c r="K9" s="11">
        <v>433</v>
      </c>
      <c r="L9" s="12">
        <v>802</v>
      </c>
      <c r="M9" s="12">
        <v>1835</v>
      </c>
      <c r="N9" s="11">
        <f t="shared" si="0"/>
        <v>959</v>
      </c>
      <c r="O9" s="12"/>
    </row>
    <row r="10" spans="1:15" ht="12" customHeight="1" x14ac:dyDescent="0.15">
      <c r="A10" s="5" t="s">
        <v>6</v>
      </c>
      <c r="B10" s="13">
        <v>1684</v>
      </c>
      <c r="C10" s="13">
        <v>1462</v>
      </c>
      <c r="D10" s="13">
        <v>1203</v>
      </c>
      <c r="E10" s="13">
        <v>976</v>
      </c>
      <c r="F10" s="13">
        <v>524</v>
      </c>
      <c r="G10" s="13">
        <v>273</v>
      </c>
      <c r="H10" s="13">
        <v>232</v>
      </c>
      <c r="I10" s="13">
        <v>255</v>
      </c>
      <c r="J10" s="13">
        <v>256</v>
      </c>
      <c r="K10" s="13">
        <v>399</v>
      </c>
      <c r="L10" s="13">
        <v>776</v>
      </c>
      <c r="M10" s="13">
        <v>1513</v>
      </c>
      <c r="N10" s="13">
        <f t="shared" si="0"/>
        <v>796.08333333333337</v>
      </c>
      <c r="O10" s="12"/>
    </row>
    <row r="11" spans="1:15" ht="12" customHeight="1" x14ac:dyDescent="0.15">
      <c r="A11" s="2" t="s">
        <v>7</v>
      </c>
      <c r="B11" s="11">
        <v>876</v>
      </c>
      <c r="C11" s="11">
        <v>813</v>
      </c>
      <c r="D11" s="11">
        <v>668</v>
      </c>
      <c r="E11" s="11">
        <v>408</v>
      </c>
      <c r="F11" s="11">
        <v>279</v>
      </c>
      <c r="G11" s="11">
        <v>234</v>
      </c>
      <c r="H11" s="11">
        <v>158</v>
      </c>
      <c r="I11" s="11">
        <v>304</v>
      </c>
      <c r="J11" s="11">
        <v>264</v>
      </c>
      <c r="K11" s="11">
        <v>281</v>
      </c>
      <c r="L11" s="12">
        <v>434</v>
      </c>
      <c r="M11" s="12">
        <v>712</v>
      </c>
      <c r="N11" s="11">
        <f t="shared" si="0"/>
        <v>452.58333333333331</v>
      </c>
      <c r="O11" s="12"/>
    </row>
    <row r="12" spans="1:15" ht="12" customHeight="1" x14ac:dyDescent="0.15">
      <c r="A12" s="2" t="s">
        <v>8</v>
      </c>
      <c r="B12" s="11">
        <v>309</v>
      </c>
      <c r="C12" s="11">
        <v>296</v>
      </c>
      <c r="D12" s="11">
        <v>197</v>
      </c>
      <c r="E12" s="11">
        <v>104</v>
      </c>
      <c r="F12" s="11">
        <v>53</v>
      </c>
      <c r="G12" s="11">
        <v>48</v>
      </c>
      <c r="H12" s="11">
        <v>86</v>
      </c>
      <c r="I12" s="11">
        <v>127</v>
      </c>
      <c r="J12" s="11">
        <v>142</v>
      </c>
      <c r="K12" s="11">
        <v>214</v>
      </c>
      <c r="L12" s="12">
        <v>247</v>
      </c>
      <c r="M12" s="12">
        <v>273</v>
      </c>
      <c r="N12" s="11">
        <f t="shared" si="0"/>
        <v>174.66666666666666</v>
      </c>
      <c r="O12" s="12"/>
    </row>
    <row r="13" spans="1:15" ht="12" customHeight="1" x14ac:dyDescent="0.15">
      <c r="A13" s="2" t="s">
        <v>9</v>
      </c>
      <c r="B13" s="11">
        <v>956</v>
      </c>
      <c r="C13" s="11">
        <v>893</v>
      </c>
      <c r="D13" s="11">
        <v>717</v>
      </c>
      <c r="E13" s="11">
        <v>455</v>
      </c>
      <c r="F13" s="11">
        <v>310</v>
      </c>
      <c r="G13" s="11">
        <v>236</v>
      </c>
      <c r="H13" s="11">
        <v>238</v>
      </c>
      <c r="I13" s="11">
        <v>367</v>
      </c>
      <c r="J13" s="11">
        <v>366</v>
      </c>
      <c r="K13" s="11">
        <v>457</v>
      </c>
      <c r="L13" s="12">
        <v>594</v>
      </c>
      <c r="M13" s="12">
        <v>910</v>
      </c>
      <c r="N13" s="11">
        <f t="shared" si="0"/>
        <v>541.58333333333337</v>
      </c>
      <c r="O13" s="12"/>
    </row>
    <row r="14" spans="1:15" ht="12" customHeight="1" x14ac:dyDescent="0.15">
      <c r="A14" s="2" t="s">
        <v>10</v>
      </c>
      <c r="B14" s="11">
        <v>608</v>
      </c>
      <c r="C14" s="11">
        <v>380</v>
      </c>
      <c r="D14" s="11">
        <v>206</v>
      </c>
      <c r="E14" s="11">
        <v>114</v>
      </c>
      <c r="F14" s="11">
        <v>65</v>
      </c>
      <c r="G14" s="11">
        <v>63</v>
      </c>
      <c r="H14" s="11">
        <v>87</v>
      </c>
      <c r="I14" s="11">
        <v>105</v>
      </c>
      <c r="J14" s="11">
        <v>148</v>
      </c>
      <c r="K14" s="11">
        <v>167</v>
      </c>
      <c r="L14" s="12">
        <v>220</v>
      </c>
      <c r="M14" s="12">
        <v>351</v>
      </c>
      <c r="N14" s="11">
        <f t="shared" si="0"/>
        <v>209.5</v>
      </c>
      <c r="O14" s="12"/>
    </row>
    <row r="15" spans="1:15" ht="12" customHeight="1" x14ac:dyDescent="0.15">
      <c r="A15" s="5" t="s">
        <v>11</v>
      </c>
      <c r="B15" s="13">
        <v>415</v>
      </c>
      <c r="C15" s="13">
        <v>351</v>
      </c>
      <c r="D15" s="13">
        <v>244</v>
      </c>
      <c r="E15" s="13">
        <v>148</v>
      </c>
      <c r="F15" s="13">
        <v>67</v>
      </c>
      <c r="G15" s="13">
        <v>45</v>
      </c>
      <c r="H15" s="13">
        <v>58</v>
      </c>
      <c r="I15" s="13">
        <v>77</v>
      </c>
      <c r="J15" s="13">
        <v>96</v>
      </c>
      <c r="K15" s="13">
        <v>121</v>
      </c>
      <c r="L15" s="13">
        <v>206</v>
      </c>
      <c r="M15" s="13">
        <v>448</v>
      </c>
      <c r="N15" s="13">
        <f t="shared" si="0"/>
        <v>189.66666666666666</v>
      </c>
      <c r="O15" s="12"/>
    </row>
    <row r="16" spans="1:15" ht="12" customHeight="1" x14ac:dyDescent="0.15">
      <c r="A16" s="2" t="s">
        <v>12</v>
      </c>
      <c r="B16" s="11">
        <v>793</v>
      </c>
      <c r="C16" s="11">
        <v>559</v>
      </c>
      <c r="D16" s="11">
        <v>500</v>
      </c>
      <c r="E16" s="11">
        <v>397</v>
      </c>
      <c r="F16" s="11">
        <v>166</v>
      </c>
      <c r="G16" s="11">
        <v>241</v>
      </c>
      <c r="H16" s="11">
        <v>289</v>
      </c>
      <c r="I16" s="11">
        <v>468</v>
      </c>
      <c r="J16" s="11">
        <v>490</v>
      </c>
      <c r="K16" s="11">
        <v>534</v>
      </c>
      <c r="L16" s="12">
        <v>627</v>
      </c>
      <c r="M16" s="12">
        <v>1007</v>
      </c>
      <c r="N16" s="11">
        <f t="shared" si="0"/>
        <v>505.91666666666669</v>
      </c>
      <c r="O16" s="12"/>
    </row>
    <row r="17" spans="1:15" ht="12" customHeight="1" x14ac:dyDescent="0.15">
      <c r="A17" s="2" t="s">
        <v>13</v>
      </c>
      <c r="B17" s="11">
        <v>1338</v>
      </c>
      <c r="C17" s="11">
        <v>1019</v>
      </c>
      <c r="D17" s="11">
        <v>776</v>
      </c>
      <c r="E17" s="11">
        <v>672</v>
      </c>
      <c r="F17" s="11">
        <v>669</v>
      </c>
      <c r="G17" s="11">
        <v>362</v>
      </c>
      <c r="H17" s="11">
        <v>322</v>
      </c>
      <c r="I17" s="11">
        <v>498</v>
      </c>
      <c r="J17" s="11">
        <v>608</v>
      </c>
      <c r="K17" s="11">
        <v>749</v>
      </c>
      <c r="L17" s="12">
        <v>804</v>
      </c>
      <c r="M17" s="12">
        <v>1467</v>
      </c>
      <c r="N17" s="11">
        <f t="shared" si="0"/>
        <v>773.66666666666663</v>
      </c>
      <c r="O17" s="12"/>
    </row>
    <row r="18" spans="1:15" ht="12" customHeight="1" x14ac:dyDescent="0.15">
      <c r="A18" s="2" t="s">
        <v>32</v>
      </c>
      <c r="B18" s="11">
        <v>553</v>
      </c>
      <c r="C18" s="11">
        <v>397</v>
      </c>
      <c r="D18" s="11">
        <v>312</v>
      </c>
      <c r="E18" s="11">
        <v>193</v>
      </c>
      <c r="F18" s="11">
        <v>93</v>
      </c>
      <c r="G18" s="11">
        <v>57</v>
      </c>
      <c r="H18" s="11">
        <v>68</v>
      </c>
      <c r="I18" s="11">
        <v>117</v>
      </c>
      <c r="J18" s="11">
        <v>116</v>
      </c>
      <c r="K18" s="11">
        <v>169</v>
      </c>
      <c r="L18" s="12">
        <v>269</v>
      </c>
      <c r="M18" s="12">
        <v>695</v>
      </c>
      <c r="N18" s="11">
        <f t="shared" si="0"/>
        <v>253.25</v>
      </c>
      <c r="O18" s="12"/>
    </row>
    <row r="19" spans="1:15" ht="12" customHeight="1" x14ac:dyDescent="0.15">
      <c r="A19" s="5" t="s">
        <v>33</v>
      </c>
      <c r="B19" s="14">
        <v>945</v>
      </c>
      <c r="C19" s="14">
        <v>485</v>
      </c>
      <c r="D19" s="14">
        <v>737</v>
      </c>
      <c r="E19" s="14">
        <v>566</v>
      </c>
      <c r="F19" s="14">
        <v>227</v>
      </c>
      <c r="G19" s="14">
        <v>224</v>
      </c>
      <c r="H19" s="14">
        <v>180</v>
      </c>
      <c r="I19" s="14">
        <v>363</v>
      </c>
      <c r="J19" s="14">
        <v>418</v>
      </c>
      <c r="K19" s="14">
        <v>499</v>
      </c>
      <c r="L19" s="13">
        <v>609</v>
      </c>
      <c r="M19" s="13">
        <v>1425</v>
      </c>
      <c r="N19" s="13">
        <f t="shared" si="0"/>
        <v>556.5</v>
      </c>
      <c r="O19" s="12"/>
    </row>
    <row r="20" spans="1:15" ht="12" customHeight="1" x14ac:dyDescent="0.15">
      <c r="A20" s="2" t="s">
        <v>34</v>
      </c>
      <c r="B20" s="11">
        <v>1291</v>
      </c>
      <c r="C20" s="11">
        <v>1113</v>
      </c>
      <c r="D20" s="11">
        <v>899</v>
      </c>
      <c r="E20" s="11">
        <v>890</v>
      </c>
      <c r="F20" s="11">
        <v>494</v>
      </c>
      <c r="G20" s="11">
        <v>332</v>
      </c>
      <c r="H20" s="11">
        <v>269</v>
      </c>
      <c r="I20" s="11">
        <v>424</v>
      </c>
      <c r="J20" s="11">
        <v>522</v>
      </c>
      <c r="K20" s="11">
        <v>728</v>
      </c>
      <c r="L20" s="12">
        <v>1022</v>
      </c>
      <c r="M20" s="12">
        <v>1407</v>
      </c>
      <c r="N20" s="11">
        <f t="shared" si="0"/>
        <v>782.58333333333337</v>
      </c>
      <c r="O20" s="12"/>
    </row>
    <row r="21" spans="1:15" ht="12" customHeight="1" x14ac:dyDescent="0.15">
      <c r="A21" s="2" t="s">
        <v>35</v>
      </c>
      <c r="B21" s="11">
        <v>1180</v>
      </c>
      <c r="C21" s="11">
        <v>938</v>
      </c>
      <c r="D21" s="11">
        <v>952</v>
      </c>
      <c r="E21" s="11">
        <v>826</v>
      </c>
      <c r="F21" s="11">
        <v>384</v>
      </c>
      <c r="G21" s="11">
        <v>215</v>
      </c>
      <c r="H21" s="11">
        <v>202</v>
      </c>
      <c r="I21" s="11">
        <v>264</v>
      </c>
      <c r="J21" s="11">
        <v>257</v>
      </c>
      <c r="K21" s="11">
        <v>487</v>
      </c>
      <c r="L21" s="12">
        <v>684</v>
      </c>
      <c r="M21" s="12">
        <v>1464</v>
      </c>
      <c r="N21" s="11">
        <f t="shared" si="0"/>
        <v>654.41666666666663</v>
      </c>
      <c r="O21" s="12"/>
    </row>
    <row r="22" spans="1:15" ht="12" customHeight="1" x14ac:dyDescent="0.15">
      <c r="A22" s="2" t="s">
        <v>14</v>
      </c>
      <c r="B22" s="11">
        <v>2981</v>
      </c>
      <c r="C22" s="11">
        <v>2185</v>
      </c>
      <c r="D22" s="11">
        <v>1645</v>
      </c>
      <c r="E22" s="11">
        <v>1553</v>
      </c>
      <c r="F22" s="11">
        <v>747</v>
      </c>
      <c r="G22" s="11">
        <v>454</v>
      </c>
      <c r="H22" s="11">
        <v>368</v>
      </c>
      <c r="I22" s="11">
        <v>627</v>
      </c>
      <c r="J22" s="11">
        <v>887</v>
      </c>
      <c r="K22" s="11">
        <v>1553</v>
      </c>
      <c r="L22" s="12">
        <v>2070</v>
      </c>
      <c r="M22" s="12">
        <v>3823</v>
      </c>
      <c r="N22" s="11">
        <f t="shared" si="0"/>
        <v>1574.4166666666667</v>
      </c>
      <c r="O22" s="12"/>
    </row>
    <row r="23" spans="1:15" ht="12" customHeight="1" x14ac:dyDescent="0.15">
      <c r="A23" s="2" t="s">
        <v>15</v>
      </c>
      <c r="B23" s="11">
        <v>1526</v>
      </c>
      <c r="C23" s="11">
        <v>1273</v>
      </c>
      <c r="D23" s="11">
        <v>1009</v>
      </c>
      <c r="E23" s="11">
        <v>705</v>
      </c>
      <c r="F23" s="11">
        <v>324</v>
      </c>
      <c r="G23" s="11">
        <v>233</v>
      </c>
      <c r="H23" s="11">
        <v>142</v>
      </c>
      <c r="I23" s="11">
        <v>227</v>
      </c>
      <c r="J23" s="11">
        <v>329</v>
      </c>
      <c r="K23" s="11">
        <v>655</v>
      </c>
      <c r="L23" s="12">
        <v>1276</v>
      </c>
      <c r="M23" s="12">
        <v>1995</v>
      </c>
      <c r="N23" s="11">
        <f t="shared" si="0"/>
        <v>807.83333333333337</v>
      </c>
      <c r="O23" s="12"/>
    </row>
    <row r="24" spans="1:15" ht="12" customHeight="1" x14ac:dyDescent="0.15">
      <c r="A24" s="2" t="s">
        <v>16</v>
      </c>
      <c r="B24" s="11">
        <v>1578</v>
      </c>
      <c r="C24" s="11">
        <v>1369</v>
      </c>
      <c r="D24" s="11">
        <v>751</v>
      </c>
      <c r="E24" s="11">
        <v>551</v>
      </c>
      <c r="F24" s="11">
        <v>279</v>
      </c>
      <c r="G24" s="11">
        <v>110</v>
      </c>
      <c r="H24" s="11">
        <v>64</v>
      </c>
      <c r="I24" s="11">
        <v>70</v>
      </c>
      <c r="J24" s="11">
        <v>135</v>
      </c>
      <c r="K24" s="11">
        <v>476</v>
      </c>
      <c r="L24" s="12">
        <v>830</v>
      </c>
      <c r="M24" s="12">
        <v>1890</v>
      </c>
      <c r="N24" s="11">
        <f t="shared" si="0"/>
        <v>675.25</v>
      </c>
      <c r="O24" s="12"/>
    </row>
    <row r="25" spans="1:15" ht="12" customHeight="1" x14ac:dyDescent="0.1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2"/>
      <c r="M25" s="12"/>
      <c r="N25" s="11"/>
      <c r="O25" s="12"/>
    </row>
    <row r="26" spans="1:15" ht="12" customHeight="1" x14ac:dyDescent="0.15">
      <c r="A26" s="6" t="s">
        <v>17</v>
      </c>
      <c r="B26" s="15">
        <f t="shared" ref="B26:M26" si="1">SUM(B6:B24)</f>
        <v>21114</v>
      </c>
      <c r="C26" s="15">
        <f t="shared" si="1"/>
        <v>17246</v>
      </c>
      <c r="D26" s="15">
        <f t="shared" si="1"/>
        <v>14357</v>
      </c>
      <c r="E26" s="15">
        <f t="shared" si="1"/>
        <v>11619</v>
      </c>
      <c r="F26" s="15">
        <f t="shared" si="1"/>
        <v>6480</v>
      </c>
      <c r="G26" s="15">
        <f t="shared" si="1"/>
        <v>4320</v>
      </c>
      <c r="H26" s="15">
        <f t="shared" si="1"/>
        <v>3766</v>
      </c>
      <c r="I26" s="15">
        <f t="shared" si="1"/>
        <v>5934</v>
      </c>
      <c r="J26" s="15">
        <f t="shared" si="1"/>
        <v>6595</v>
      </c>
      <c r="K26" s="15">
        <f t="shared" si="1"/>
        <v>9246</v>
      </c>
      <c r="L26" s="15">
        <f t="shared" si="1"/>
        <v>12986</v>
      </c>
      <c r="M26" s="15">
        <f t="shared" si="1"/>
        <v>23358</v>
      </c>
      <c r="N26" s="15">
        <f>SUM(B26:M26)/12</f>
        <v>11418.416666666666</v>
      </c>
      <c r="O26" s="12"/>
    </row>
    <row r="27" spans="1:15" ht="12" customHeight="1" x14ac:dyDescent="0.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5" ht="12" customHeight="1" x14ac:dyDescent="0.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30" spans="1:15" ht="12" customHeight="1" x14ac:dyDescent="0.15">
      <c r="A30" s="1" t="s">
        <v>31</v>
      </c>
    </row>
    <row r="31" spans="1:15" ht="12" customHeight="1" x14ac:dyDescent="0.15">
      <c r="A31" s="7">
        <v>1968</v>
      </c>
    </row>
    <row r="32" spans="1:15" ht="12" customHeight="1" x14ac:dyDescent="0.15">
      <c r="A32" s="3" t="s">
        <v>1</v>
      </c>
      <c r="B32" s="3" t="s">
        <v>23</v>
      </c>
      <c r="C32" s="3" t="s">
        <v>24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29</v>
      </c>
      <c r="N32" s="8" t="s">
        <v>30</v>
      </c>
    </row>
    <row r="34" spans="1:15" ht="12" customHeight="1" x14ac:dyDescent="0.15">
      <c r="A34" s="2" t="s">
        <v>2</v>
      </c>
      <c r="B34" s="11">
        <v>1488</v>
      </c>
      <c r="C34" s="11">
        <v>1449</v>
      </c>
      <c r="D34" s="11">
        <v>1347</v>
      </c>
      <c r="E34" s="11">
        <v>1048</v>
      </c>
      <c r="F34" s="11">
        <v>756</v>
      </c>
      <c r="G34" s="11">
        <v>719</v>
      </c>
      <c r="H34" s="11">
        <v>727</v>
      </c>
      <c r="I34" s="11">
        <v>994</v>
      </c>
      <c r="J34" s="11">
        <v>1011</v>
      </c>
      <c r="K34" s="11">
        <v>1095</v>
      </c>
      <c r="L34" s="12">
        <v>1179</v>
      </c>
      <c r="M34" s="12">
        <v>1299</v>
      </c>
      <c r="N34" s="11">
        <f t="shared" ref="N34:N52" si="2">SUM(B34:M34)/12</f>
        <v>1092.6666666666667</v>
      </c>
      <c r="O34" s="12"/>
    </row>
    <row r="35" spans="1:15" ht="12" customHeight="1" x14ac:dyDescent="0.15">
      <c r="A35" s="2" t="s">
        <v>3</v>
      </c>
      <c r="B35" s="11">
        <v>611</v>
      </c>
      <c r="C35" s="11">
        <v>687</v>
      </c>
      <c r="D35" s="11">
        <v>700</v>
      </c>
      <c r="E35" s="11">
        <v>463</v>
      </c>
      <c r="F35" s="11">
        <v>292</v>
      </c>
      <c r="G35" s="11">
        <v>171</v>
      </c>
      <c r="H35" s="11">
        <v>216</v>
      </c>
      <c r="I35" s="11">
        <v>266</v>
      </c>
      <c r="J35" s="11">
        <v>210</v>
      </c>
      <c r="K35" s="11">
        <v>262</v>
      </c>
      <c r="L35" s="12">
        <v>412</v>
      </c>
      <c r="M35" s="12">
        <v>559</v>
      </c>
      <c r="N35" s="11">
        <f t="shared" si="2"/>
        <v>404.08333333333331</v>
      </c>
      <c r="O35" s="12"/>
    </row>
    <row r="36" spans="1:15" ht="12" customHeight="1" x14ac:dyDescent="0.15">
      <c r="A36" s="2" t="s">
        <v>4</v>
      </c>
      <c r="B36" s="11">
        <v>854</v>
      </c>
      <c r="C36" s="11">
        <v>869</v>
      </c>
      <c r="D36" s="11">
        <v>981</v>
      </c>
      <c r="E36" s="11">
        <v>743</v>
      </c>
      <c r="F36" s="11">
        <v>585</v>
      </c>
      <c r="G36" s="11">
        <v>533</v>
      </c>
      <c r="H36" s="11">
        <v>565</v>
      </c>
      <c r="I36" s="11">
        <v>675</v>
      </c>
      <c r="J36" s="11">
        <v>700</v>
      </c>
      <c r="K36" s="11">
        <v>633</v>
      </c>
      <c r="L36" s="12">
        <v>791</v>
      </c>
      <c r="M36" s="12">
        <v>1008</v>
      </c>
      <c r="N36" s="11">
        <f t="shared" si="2"/>
        <v>744.75</v>
      </c>
      <c r="O36" s="12"/>
    </row>
    <row r="37" spans="1:15" ht="12" customHeight="1" x14ac:dyDescent="0.15">
      <c r="A37" s="2" t="s">
        <v>5</v>
      </c>
      <c r="B37" s="11">
        <v>2280</v>
      </c>
      <c r="C37" s="11">
        <v>2276</v>
      </c>
      <c r="D37" s="11">
        <v>2081</v>
      </c>
      <c r="E37" s="11">
        <v>2188</v>
      </c>
      <c r="F37" s="11">
        <v>931</v>
      </c>
      <c r="G37" s="11">
        <v>603</v>
      </c>
      <c r="H37" s="11">
        <v>517</v>
      </c>
      <c r="I37" s="11">
        <v>599</v>
      </c>
      <c r="J37" s="11">
        <v>577</v>
      </c>
      <c r="K37" s="11">
        <v>663</v>
      </c>
      <c r="L37" s="12">
        <v>1247</v>
      </c>
      <c r="M37" s="12">
        <v>1882</v>
      </c>
      <c r="N37" s="11">
        <f t="shared" si="2"/>
        <v>1320.3333333333333</v>
      </c>
      <c r="O37" s="12"/>
    </row>
    <row r="38" spans="1:15" ht="12" customHeight="1" x14ac:dyDescent="0.15">
      <c r="A38" s="5" t="s">
        <v>6</v>
      </c>
      <c r="B38" s="13">
        <v>1789</v>
      </c>
      <c r="C38" s="13">
        <v>1638</v>
      </c>
      <c r="D38" s="13">
        <v>1553</v>
      </c>
      <c r="E38" s="13">
        <v>1332</v>
      </c>
      <c r="F38" s="13">
        <v>700</v>
      </c>
      <c r="G38" s="13">
        <v>483</v>
      </c>
      <c r="H38" s="13">
        <v>373</v>
      </c>
      <c r="I38" s="13">
        <v>424</v>
      </c>
      <c r="J38" s="13">
        <v>434</v>
      </c>
      <c r="K38" s="13">
        <v>553</v>
      </c>
      <c r="L38" s="13">
        <v>1141</v>
      </c>
      <c r="M38" s="13">
        <v>1740</v>
      </c>
      <c r="N38" s="13">
        <f t="shared" si="2"/>
        <v>1013.3333333333334</v>
      </c>
      <c r="O38" s="12"/>
    </row>
    <row r="39" spans="1:15" ht="12" customHeight="1" x14ac:dyDescent="0.15">
      <c r="A39" s="2" t="s">
        <v>7</v>
      </c>
      <c r="B39" s="11">
        <v>920</v>
      </c>
      <c r="C39" s="11">
        <v>923</v>
      </c>
      <c r="D39" s="11">
        <v>794</v>
      </c>
      <c r="E39" s="11">
        <v>586</v>
      </c>
      <c r="F39" s="11">
        <v>324</v>
      </c>
      <c r="G39" s="11">
        <v>277</v>
      </c>
      <c r="H39" s="11">
        <v>318</v>
      </c>
      <c r="I39" s="11">
        <v>438</v>
      </c>
      <c r="J39" s="11">
        <v>385</v>
      </c>
      <c r="K39" s="11">
        <v>476</v>
      </c>
      <c r="L39" s="12">
        <v>741</v>
      </c>
      <c r="M39" s="12">
        <v>923</v>
      </c>
      <c r="N39" s="11">
        <f t="shared" si="2"/>
        <v>592.08333333333337</v>
      </c>
      <c r="O39" s="12"/>
    </row>
    <row r="40" spans="1:15" ht="12" customHeight="1" x14ac:dyDescent="0.15">
      <c r="A40" s="2" t="s">
        <v>8</v>
      </c>
      <c r="B40" s="11">
        <v>501</v>
      </c>
      <c r="C40" s="11">
        <v>500</v>
      </c>
      <c r="D40" s="11">
        <v>476</v>
      </c>
      <c r="E40" s="11">
        <v>243</v>
      </c>
      <c r="F40" s="11">
        <v>157</v>
      </c>
      <c r="G40" s="11">
        <v>139</v>
      </c>
      <c r="H40" s="11">
        <v>129</v>
      </c>
      <c r="I40" s="11">
        <v>217</v>
      </c>
      <c r="J40" s="11">
        <v>262</v>
      </c>
      <c r="K40" s="11">
        <v>373</v>
      </c>
      <c r="L40" s="12">
        <v>454</v>
      </c>
      <c r="M40" s="12">
        <v>533</v>
      </c>
      <c r="N40" s="11">
        <f t="shared" si="2"/>
        <v>332</v>
      </c>
      <c r="O40" s="12"/>
    </row>
    <row r="41" spans="1:15" ht="12" customHeight="1" x14ac:dyDescent="0.15">
      <c r="A41" s="2" t="s">
        <v>9</v>
      </c>
      <c r="B41" s="11">
        <v>1468</v>
      </c>
      <c r="C41" s="11">
        <v>1279</v>
      </c>
      <c r="D41" s="11">
        <v>1209</v>
      </c>
      <c r="E41" s="11">
        <v>863</v>
      </c>
      <c r="F41" s="11">
        <v>523</v>
      </c>
      <c r="G41" s="11">
        <v>428</v>
      </c>
      <c r="H41" s="11">
        <v>383</v>
      </c>
      <c r="I41" s="11">
        <v>517</v>
      </c>
      <c r="J41" s="11">
        <v>572</v>
      </c>
      <c r="K41" s="11">
        <v>610</v>
      </c>
      <c r="L41" s="12">
        <v>775</v>
      </c>
      <c r="M41" s="12">
        <v>1044</v>
      </c>
      <c r="N41" s="11">
        <f t="shared" si="2"/>
        <v>805.91666666666663</v>
      </c>
      <c r="O41" s="12"/>
    </row>
    <row r="42" spans="1:15" ht="12" customHeight="1" x14ac:dyDescent="0.15">
      <c r="A42" s="2" t="s">
        <v>10</v>
      </c>
      <c r="B42" s="11">
        <v>798</v>
      </c>
      <c r="C42" s="11">
        <v>702</v>
      </c>
      <c r="D42" s="11">
        <v>503</v>
      </c>
      <c r="E42" s="11">
        <v>290</v>
      </c>
      <c r="F42" s="11">
        <v>179</v>
      </c>
      <c r="G42" s="11">
        <v>125</v>
      </c>
      <c r="H42" s="11">
        <v>125</v>
      </c>
      <c r="I42" s="11">
        <v>257</v>
      </c>
      <c r="J42" s="11">
        <v>261</v>
      </c>
      <c r="K42" s="11">
        <v>349</v>
      </c>
      <c r="L42" s="12">
        <v>623</v>
      </c>
      <c r="M42" s="12">
        <v>628</v>
      </c>
      <c r="N42" s="11">
        <f t="shared" si="2"/>
        <v>403.33333333333331</v>
      </c>
      <c r="O42" s="12"/>
    </row>
    <row r="43" spans="1:15" ht="12" customHeight="1" x14ac:dyDescent="0.15">
      <c r="A43" s="5" t="s">
        <v>11</v>
      </c>
      <c r="B43" s="13">
        <v>613</v>
      </c>
      <c r="C43" s="13">
        <v>543</v>
      </c>
      <c r="D43" s="13">
        <v>492</v>
      </c>
      <c r="E43" s="13">
        <v>282</v>
      </c>
      <c r="F43" s="13">
        <v>251</v>
      </c>
      <c r="G43" s="13">
        <v>159</v>
      </c>
      <c r="H43" s="13">
        <v>179</v>
      </c>
      <c r="I43" s="13">
        <v>154</v>
      </c>
      <c r="J43" s="13">
        <v>223</v>
      </c>
      <c r="K43" s="13">
        <v>269</v>
      </c>
      <c r="L43" s="13">
        <v>457</v>
      </c>
      <c r="M43" s="13">
        <v>660</v>
      </c>
      <c r="N43" s="13">
        <f t="shared" si="2"/>
        <v>356.83333333333331</v>
      </c>
      <c r="O43" s="12"/>
    </row>
    <row r="44" spans="1:15" ht="12" customHeight="1" x14ac:dyDescent="0.15">
      <c r="A44" s="2" t="s">
        <v>12</v>
      </c>
      <c r="B44" s="11">
        <v>1013</v>
      </c>
      <c r="C44" s="11">
        <v>936</v>
      </c>
      <c r="D44" s="11">
        <v>843</v>
      </c>
      <c r="E44" s="11">
        <v>580</v>
      </c>
      <c r="F44" s="11">
        <v>416</v>
      </c>
      <c r="G44" s="11">
        <v>443</v>
      </c>
      <c r="H44" s="11">
        <v>432</v>
      </c>
      <c r="I44" s="11">
        <v>735</v>
      </c>
      <c r="J44" s="11">
        <v>680</v>
      </c>
      <c r="K44" s="11">
        <v>732</v>
      </c>
      <c r="L44" s="12">
        <v>763</v>
      </c>
      <c r="M44" s="12">
        <v>808</v>
      </c>
      <c r="N44" s="11">
        <f t="shared" si="2"/>
        <v>698.41666666666663</v>
      </c>
      <c r="O44" s="12"/>
    </row>
    <row r="45" spans="1:15" ht="12" customHeight="1" x14ac:dyDescent="0.15">
      <c r="A45" s="2" t="s">
        <v>13</v>
      </c>
      <c r="B45" s="11">
        <v>1936</v>
      </c>
      <c r="C45" s="11">
        <v>1748</v>
      </c>
      <c r="D45" s="11">
        <v>1609</v>
      </c>
      <c r="E45" s="11">
        <v>1253</v>
      </c>
      <c r="F45" s="11">
        <v>1073</v>
      </c>
      <c r="G45" s="11">
        <v>606</v>
      </c>
      <c r="H45" s="11">
        <v>562</v>
      </c>
      <c r="I45" s="11">
        <v>909</v>
      </c>
      <c r="J45" s="11">
        <v>1133</v>
      </c>
      <c r="K45" s="11">
        <v>1384</v>
      </c>
      <c r="L45" s="12">
        <v>1489</v>
      </c>
      <c r="M45" s="12">
        <v>2034</v>
      </c>
      <c r="N45" s="11">
        <f t="shared" si="2"/>
        <v>1311.3333333333333</v>
      </c>
      <c r="O45" s="12"/>
    </row>
    <row r="46" spans="1:15" ht="12" customHeight="1" x14ac:dyDescent="0.15">
      <c r="A46" s="2" t="s">
        <v>32</v>
      </c>
      <c r="B46" s="11">
        <v>650</v>
      </c>
      <c r="C46" s="11">
        <v>655</v>
      </c>
      <c r="D46" s="11">
        <v>687</v>
      </c>
      <c r="E46" s="11">
        <v>460</v>
      </c>
      <c r="F46" s="11">
        <v>239</v>
      </c>
      <c r="G46" s="11">
        <v>103</v>
      </c>
      <c r="H46" s="11">
        <v>106</v>
      </c>
      <c r="I46" s="11">
        <v>153</v>
      </c>
      <c r="J46" s="11">
        <v>171</v>
      </c>
      <c r="K46" s="11">
        <v>274</v>
      </c>
      <c r="L46" s="12">
        <v>514</v>
      </c>
      <c r="M46" s="12">
        <v>868</v>
      </c>
      <c r="N46" s="11">
        <f t="shared" si="2"/>
        <v>406.66666666666669</v>
      </c>
      <c r="O46" s="12"/>
    </row>
    <row r="47" spans="1:15" ht="12" customHeight="1" x14ac:dyDescent="0.15">
      <c r="A47" s="5" t="s">
        <v>33</v>
      </c>
      <c r="B47" s="14">
        <v>1167</v>
      </c>
      <c r="C47" s="14">
        <v>1238</v>
      </c>
      <c r="D47" s="14">
        <v>1238</v>
      </c>
      <c r="E47" s="14">
        <v>911</v>
      </c>
      <c r="F47" s="14">
        <v>520</v>
      </c>
      <c r="G47" s="14">
        <v>359</v>
      </c>
      <c r="H47" s="14">
        <v>372</v>
      </c>
      <c r="I47" s="14">
        <v>589</v>
      </c>
      <c r="J47" s="14">
        <v>692</v>
      </c>
      <c r="K47" s="14">
        <v>845</v>
      </c>
      <c r="L47" s="13">
        <v>1138</v>
      </c>
      <c r="M47" s="13">
        <v>1776</v>
      </c>
      <c r="N47" s="13">
        <f t="shared" si="2"/>
        <v>903.75</v>
      </c>
      <c r="O47" s="12"/>
    </row>
    <row r="48" spans="1:15" ht="12" customHeight="1" x14ac:dyDescent="0.15">
      <c r="A48" s="2" t="s">
        <v>34</v>
      </c>
      <c r="B48" s="11">
        <v>1677</v>
      </c>
      <c r="C48" s="11">
        <v>1676</v>
      </c>
      <c r="D48" s="11">
        <v>1599</v>
      </c>
      <c r="E48" s="11">
        <v>1410</v>
      </c>
      <c r="F48" s="11">
        <v>801</v>
      </c>
      <c r="G48" s="11">
        <v>501</v>
      </c>
      <c r="H48" s="11">
        <v>443</v>
      </c>
      <c r="I48" s="11">
        <v>684</v>
      </c>
      <c r="J48" s="11">
        <v>794</v>
      </c>
      <c r="K48" s="11">
        <v>954</v>
      </c>
      <c r="L48" s="12">
        <v>1414</v>
      </c>
      <c r="M48" s="12">
        <v>1745</v>
      </c>
      <c r="N48" s="13">
        <f t="shared" si="2"/>
        <v>1141.5</v>
      </c>
      <c r="O48" s="12"/>
    </row>
    <row r="49" spans="1:15" ht="12" customHeight="1" x14ac:dyDescent="0.15">
      <c r="A49" s="2" t="s">
        <v>35</v>
      </c>
      <c r="B49" s="11">
        <v>1553</v>
      </c>
      <c r="C49" s="11">
        <v>1306</v>
      </c>
      <c r="D49" s="11">
        <v>1139</v>
      </c>
      <c r="E49" s="11">
        <v>1225</v>
      </c>
      <c r="F49" s="11">
        <v>550</v>
      </c>
      <c r="G49" s="11">
        <v>347</v>
      </c>
      <c r="H49" s="11">
        <v>345</v>
      </c>
      <c r="I49" s="11">
        <v>362</v>
      </c>
      <c r="J49" s="11">
        <v>470</v>
      </c>
      <c r="K49" s="11">
        <v>710</v>
      </c>
      <c r="L49" s="12">
        <v>1021</v>
      </c>
      <c r="M49" s="12">
        <v>1573</v>
      </c>
      <c r="N49" s="11">
        <f t="shared" si="2"/>
        <v>883.41666666666663</v>
      </c>
      <c r="O49" s="12"/>
    </row>
    <row r="50" spans="1:15" ht="12" customHeight="1" x14ac:dyDescent="0.15">
      <c r="A50" s="2" t="s">
        <v>14</v>
      </c>
      <c r="B50" s="11">
        <v>3265</v>
      </c>
      <c r="C50" s="11">
        <v>2609</v>
      </c>
      <c r="D50" s="11">
        <v>2252</v>
      </c>
      <c r="E50" s="11">
        <v>2250</v>
      </c>
      <c r="F50" s="11">
        <v>1231</v>
      </c>
      <c r="G50" s="11">
        <v>701</v>
      </c>
      <c r="H50" s="11">
        <v>605</v>
      </c>
      <c r="I50" s="11">
        <v>985</v>
      </c>
      <c r="J50" s="11">
        <v>1376</v>
      </c>
      <c r="K50" s="11">
        <v>2140</v>
      </c>
      <c r="L50" s="12">
        <v>2852</v>
      </c>
      <c r="M50" s="12">
        <v>4413</v>
      </c>
      <c r="N50" s="11">
        <f t="shared" si="2"/>
        <v>2056.5833333333335</v>
      </c>
      <c r="O50" s="12"/>
    </row>
    <row r="51" spans="1:15" ht="12" customHeight="1" x14ac:dyDescent="0.15">
      <c r="A51" s="2" t="s">
        <v>15</v>
      </c>
      <c r="B51" s="11">
        <v>2198</v>
      </c>
      <c r="C51" s="11">
        <v>1844</v>
      </c>
      <c r="D51" s="11">
        <v>1522</v>
      </c>
      <c r="E51" s="11">
        <v>1360</v>
      </c>
      <c r="F51" s="11">
        <v>903</v>
      </c>
      <c r="G51" s="11">
        <v>430</v>
      </c>
      <c r="H51" s="11">
        <v>291</v>
      </c>
      <c r="I51" s="11">
        <v>450</v>
      </c>
      <c r="J51" s="11">
        <v>625</v>
      </c>
      <c r="K51" s="11">
        <v>1030</v>
      </c>
      <c r="L51" s="12">
        <v>1556</v>
      </c>
      <c r="M51" s="12">
        <v>2249</v>
      </c>
      <c r="N51" s="11">
        <f t="shared" si="2"/>
        <v>1204.8333333333333</v>
      </c>
      <c r="O51" s="12"/>
    </row>
    <row r="52" spans="1:15" ht="12" customHeight="1" x14ac:dyDescent="0.15">
      <c r="A52" s="2" t="s">
        <v>16</v>
      </c>
      <c r="B52" s="11">
        <v>1598</v>
      </c>
      <c r="C52" s="11">
        <v>1503</v>
      </c>
      <c r="D52" s="11">
        <v>822</v>
      </c>
      <c r="E52" s="11">
        <v>762</v>
      </c>
      <c r="F52" s="11">
        <v>483</v>
      </c>
      <c r="G52" s="11">
        <v>228</v>
      </c>
      <c r="H52" s="11">
        <v>160</v>
      </c>
      <c r="I52" s="11">
        <v>204</v>
      </c>
      <c r="J52" s="11">
        <v>267</v>
      </c>
      <c r="K52" s="11">
        <v>663</v>
      </c>
      <c r="L52" s="12">
        <v>1069</v>
      </c>
      <c r="M52" s="12">
        <v>1727</v>
      </c>
      <c r="N52" s="11">
        <f t="shared" si="2"/>
        <v>790.5</v>
      </c>
      <c r="O52" s="12"/>
    </row>
    <row r="53" spans="1:15" ht="12" customHeight="1" x14ac:dyDescent="0.15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2"/>
      <c r="M53" s="12"/>
      <c r="N53" s="11"/>
      <c r="O53" s="12"/>
    </row>
    <row r="54" spans="1:15" ht="12" customHeight="1" x14ac:dyDescent="0.15">
      <c r="A54" s="6" t="s">
        <v>17</v>
      </c>
      <c r="B54" s="15">
        <f t="shared" ref="B54:M54" si="3">SUM(B34:B52)</f>
        <v>26379</v>
      </c>
      <c r="C54" s="15">
        <f t="shared" si="3"/>
        <v>24381</v>
      </c>
      <c r="D54" s="15">
        <f t="shared" si="3"/>
        <v>21847</v>
      </c>
      <c r="E54" s="15">
        <f t="shared" si="3"/>
        <v>18249</v>
      </c>
      <c r="F54" s="15">
        <f t="shared" si="3"/>
        <v>10914</v>
      </c>
      <c r="G54" s="15">
        <f t="shared" si="3"/>
        <v>7355</v>
      </c>
      <c r="H54" s="15">
        <f t="shared" si="3"/>
        <v>6848</v>
      </c>
      <c r="I54" s="15">
        <f t="shared" si="3"/>
        <v>9612</v>
      </c>
      <c r="J54" s="15">
        <f t="shared" si="3"/>
        <v>10843</v>
      </c>
      <c r="K54" s="15">
        <f t="shared" si="3"/>
        <v>14015</v>
      </c>
      <c r="L54" s="15">
        <f t="shared" si="3"/>
        <v>19636</v>
      </c>
      <c r="M54" s="15">
        <f t="shared" si="3"/>
        <v>27469</v>
      </c>
      <c r="N54" s="15">
        <f>SUM(B54:M54)/12</f>
        <v>16462.333333333332</v>
      </c>
      <c r="O54" s="12"/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tabSelected="1" zoomScale="75" zoomScaleNormal="75" zoomScaleSheetLayoutView="80" workbookViewId="0">
      <selection activeCell="G2" sqref="G2"/>
    </sheetView>
  </sheetViews>
  <sheetFormatPr baseColWidth="10" defaultColWidth="9.33203125" defaultRowHeight="12" customHeight="1" x14ac:dyDescent="0.15"/>
  <cols>
    <col min="1" max="1" width="18" style="2" customWidth="1"/>
    <col min="2" max="13" width="8.33203125" style="2" customWidth="1"/>
    <col min="14" max="14" width="8.33203125" style="4" customWidth="1"/>
    <col min="15" max="19" width="8.33203125" style="2" customWidth="1"/>
    <col min="20" max="21" width="8.83203125" style="2" customWidth="1"/>
    <col min="22" max="16384" width="9.33203125" style="2"/>
  </cols>
  <sheetData>
    <row r="1" spans="1:15" ht="12" customHeight="1" x14ac:dyDescent="0.15">
      <c r="A1" s="2" t="s">
        <v>0</v>
      </c>
    </row>
    <row r="2" spans="1:15" ht="12" customHeight="1" x14ac:dyDescent="0.15">
      <c r="A2" s="1" t="s">
        <v>31</v>
      </c>
    </row>
    <row r="3" spans="1:15" ht="12" customHeight="1" x14ac:dyDescent="0.15">
      <c r="A3" s="7">
        <v>1969</v>
      </c>
    </row>
    <row r="4" spans="1:15" ht="12" customHeight="1" x14ac:dyDescent="0.15">
      <c r="A4" s="3" t="s">
        <v>1</v>
      </c>
      <c r="B4" s="3" t="s">
        <v>23</v>
      </c>
      <c r="C4" s="3" t="s">
        <v>24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8" t="s">
        <v>30</v>
      </c>
    </row>
    <row r="6" spans="1:15" ht="12" customHeight="1" x14ac:dyDescent="0.15">
      <c r="A6" s="2" t="s">
        <v>2</v>
      </c>
      <c r="B6" s="11">
        <v>1691</v>
      </c>
      <c r="C6" s="11">
        <v>1681</v>
      </c>
      <c r="D6" s="11">
        <v>1426</v>
      </c>
      <c r="E6" s="11">
        <v>947</v>
      </c>
      <c r="F6" s="11">
        <v>661</v>
      </c>
      <c r="G6" s="11">
        <v>549</v>
      </c>
      <c r="H6" s="11">
        <v>627</v>
      </c>
      <c r="I6" s="11">
        <v>654</v>
      </c>
      <c r="J6" s="11">
        <v>656</v>
      </c>
      <c r="K6" s="11">
        <v>658</v>
      </c>
      <c r="L6" s="12">
        <v>708</v>
      </c>
      <c r="M6" s="12">
        <v>718</v>
      </c>
      <c r="N6" s="11">
        <f t="shared" ref="N6:N24" si="0">SUM(B6:M6)/12</f>
        <v>914.66666666666663</v>
      </c>
      <c r="O6" s="12"/>
    </row>
    <row r="7" spans="1:15" ht="12" customHeight="1" x14ac:dyDescent="0.15">
      <c r="A7" s="2" t="s">
        <v>3</v>
      </c>
      <c r="B7" s="11">
        <v>753</v>
      </c>
      <c r="C7" s="11">
        <v>779</v>
      </c>
      <c r="D7" s="11">
        <v>667</v>
      </c>
      <c r="E7" s="11">
        <v>425</v>
      </c>
      <c r="F7" s="11">
        <v>213</v>
      </c>
      <c r="G7" s="11">
        <v>153</v>
      </c>
      <c r="H7" s="11">
        <v>182</v>
      </c>
      <c r="I7" s="11">
        <v>221</v>
      </c>
      <c r="J7" s="11">
        <v>174</v>
      </c>
      <c r="K7" s="11">
        <v>205</v>
      </c>
      <c r="L7" s="12">
        <v>213</v>
      </c>
      <c r="M7" s="12">
        <v>299</v>
      </c>
      <c r="N7" s="11">
        <f t="shared" si="0"/>
        <v>357</v>
      </c>
      <c r="O7" s="12"/>
    </row>
    <row r="8" spans="1:15" ht="12" customHeight="1" x14ac:dyDescent="0.15">
      <c r="A8" s="2" t="s">
        <v>4</v>
      </c>
      <c r="B8" s="11">
        <v>1126</v>
      </c>
      <c r="C8" s="11">
        <v>1134</v>
      </c>
      <c r="D8" s="11">
        <v>969</v>
      </c>
      <c r="E8" s="11">
        <v>754</v>
      </c>
      <c r="F8" s="11">
        <v>541</v>
      </c>
      <c r="G8" s="11">
        <v>378</v>
      </c>
      <c r="H8" s="11">
        <v>317</v>
      </c>
      <c r="I8" s="11">
        <v>392</v>
      </c>
      <c r="J8" s="11">
        <v>364</v>
      </c>
      <c r="K8" s="11">
        <v>444</v>
      </c>
      <c r="L8" s="12">
        <v>491</v>
      </c>
      <c r="M8" s="12">
        <v>461</v>
      </c>
      <c r="N8" s="11">
        <f t="shared" si="0"/>
        <v>614.25</v>
      </c>
      <c r="O8" s="12"/>
    </row>
    <row r="9" spans="1:15" ht="12" customHeight="1" x14ac:dyDescent="0.15">
      <c r="A9" s="2" t="s">
        <v>5</v>
      </c>
      <c r="B9" s="11">
        <v>1962</v>
      </c>
      <c r="C9" s="11">
        <v>1814</v>
      </c>
      <c r="D9" s="11">
        <v>1719</v>
      </c>
      <c r="E9" s="11">
        <v>1780</v>
      </c>
      <c r="F9" s="11">
        <v>1033</v>
      </c>
      <c r="G9" s="11">
        <v>538</v>
      </c>
      <c r="H9" s="11">
        <v>562</v>
      </c>
      <c r="I9" s="11">
        <v>477</v>
      </c>
      <c r="J9" s="11">
        <v>394</v>
      </c>
      <c r="K9" s="11">
        <v>423</v>
      </c>
      <c r="L9" s="12">
        <v>543</v>
      </c>
      <c r="M9" s="12">
        <v>969</v>
      </c>
      <c r="N9" s="11">
        <f t="shared" si="0"/>
        <v>1017.8333333333334</v>
      </c>
      <c r="O9" s="12"/>
    </row>
    <row r="10" spans="1:15" ht="12" customHeight="1" x14ac:dyDescent="0.15">
      <c r="A10" s="5" t="s">
        <v>6</v>
      </c>
      <c r="B10" s="13">
        <v>2035</v>
      </c>
      <c r="C10" s="13">
        <v>1906</v>
      </c>
      <c r="D10" s="13">
        <v>1693</v>
      </c>
      <c r="E10" s="13">
        <v>1417</v>
      </c>
      <c r="F10" s="13">
        <v>654</v>
      </c>
      <c r="G10" s="13">
        <v>363</v>
      </c>
      <c r="H10" s="13">
        <v>352</v>
      </c>
      <c r="I10" s="13">
        <v>397</v>
      </c>
      <c r="J10" s="13">
        <v>331</v>
      </c>
      <c r="K10" s="13">
        <v>417</v>
      </c>
      <c r="L10" s="13">
        <v>789</v>
      </c>
      <c r="M10" s="13">
        <v>1224</v>
      </c>
      <c r="N10" s="13">
        <f t="shared" si="0"/>
        <v>964.83333333333337</v>
      </c>
      <c r="O10" s="12"/>
    </row>
    <row r="11" spans="1:15" ht="12" customHeight="1" x14ac:dyDescent="0.15">
      <c r="A11" s="2" t="s">
        <v>7</v>
      </c>
      <c r="B11" s="11">
        <v>1061</v>
      </c>
      <c r="C11" s="11">
        <v>927</v>
      </c>
      <c r="D11" s="11">
        <v>829</v>
      </c>
      <c r="E11" s="11">
        <v>564</v>
      </c>
      <c r="F11" s="11">
        <v>310</v>
      </c>
      <c r="G11" s="11">
        <v>252</v>
      </c>
      <c r="H11" s="11">
        <v>239</v>
      </c>
      <c r="I11" s="11">
        <v>276</v>
      </c>
      <c r="J11" s="11">
        <v>222</v>
      </c>
      <c r="K11" s="11">
        <v>260</v>
      </c>
      <c r="L11" s="12">
        <v>315</v>
      </c>
      <c r="M11" s="12">
        <v>444</v>
      </c>
      <c r="N11" s="11">
        <f t="shared" si="0"/>
        <v>474.91666666666669</v>
      </c>
      <c r="O11" s="12"/>
    </row>
    <row r="12" spans="1:15" ht="12" customHeight="1" x14ac:dyDescent="0.15">
      <c r="A12" s="2" t="s">
        <v>8</v>
      </c>
      <c r="B12" s="11">
        <v>694</v>
      </c>
      <c r="C12" s="11">
        <v>700</v>
      </c>
      <c r="D12" s="11">
        <v>572</v>
      </c>
      <c r="E12" s="11">
        <v>293</v>
      </c>
      <c r="F12" s="11">
        <v>114</v>
      </c>
      <c r="G12" s="11">
        <v>123</v>
      </c>
      <c r="H12" s="11">
        <v>147</v>
      </c>
      <c r="I12" s="11">
        <v>242</v>
      </c>
      <c r="J12" s="11">
        <v>251</v>
      </c>
      <c r="K12" s="11">
        <v>220</v>
      </c>
      <c r="L12" s="12">
        <v>217</v>
      </c>
      <c r="M12" s="12">
        <v>265</v>
      </c>
      <c r="N12" s="11">
        <f t="shared" si="0"/>
        <v>319.83333333333331</v>
      </c>
      <c r="O12" s="12"/>
    </row>
    <row r="13" spans="1:15" ht="12" customHeight="1" x14ac:dyDescent="0.15">
      <c r="A13" s="2" t="s">
        <v>9</v>
      </c>
      <c r="B13" s="11">
        <v>1258</v>
      </c>
      <c r="C13" s="11">
        <v>1294</v>
      </c>
      <c r="D13" s="11">
        <v>1210</v>
      </c>
      <c r="E13" s="11">
        <v>906</v>
      </c>
      <c r="F13" s="11">
        <v>479</v>
      </c>
      <c r="G13" s="11">
        <v>398</v>
      </c>
      <c r="H13" s="11">
        <v>413</v>
      </c>
      <c r="I13" s="11">
        <v>484</v>
      </c>
      <c r="J13" s="11">
        <v>496</v>
      </c>
      <c r="K13" s="11">
        <v>580</v>
      </c>
      <c r="L13" s="12">
        <v>696</v>
      </c>
      <c r="M13" s="12">
        <v>1014</v>
      </c>
      <c r="N13" s="11">
        <f t="shared" si="0"/>
        <v>769</v>
      </c>
      <c r="O13" s="12"/>
    </row>
    <row r="14" spans="1:15" ht="12" customHeight="1" x14ac:dyDescent="0.15">
      <c r="A14" s="2" t="s">
        <v>10</v>
      </c>
      <c r="B14" s="11">
        <v>868</v>
      </c>
      <c r="C14" s="11">
        <v>798</v>
      </c>
      <c r="D14" s="11">
        <v>590</v>
      </c>
      <c r="E14" s="11">
        <v>333</v>
      </c>
      <c r="F14" s="11">
        <v>258</v>
      </c>
      <c r="G14" s="11">
        <v>195</v>
      </c>
      <c r="H14" s="11">
        <v>152</v>
      </c>
      <c r="I14" s="11">
        <v>228</v>
      </c>
      <c r="J14" s="11">
        <v>241</v>
      </c>
      <c r="K14" s="11">
        <v>245</v>
      </c>
      <c r="L14" s="12">
        <v>308</v>
      </c>
      <c r="M14" s="12">
        <v>448</v>
      </c>
      <c r="N14" s="11">
        <f t="shared" si="0"/>
        <v>388.66666666666669</v>
      </c>
      <c r="O14" s="12"/>
    </row>
    <row r="15" spans="1:15" ht="12" customHeight="1" x14ac:dyDescent="0.15">
      <c r="A15" s="5" t="s">
        <v>11</v>
      </c>
      <c r="B15" s="13">
        <v>687</v>
      </c>
      <c r="C15" s="13">
        <v>585</v>
      </c>
      <c r="D15" s="13">
        <v>534</v>
      </c>
      <c r="E15" s="13">
        <v>260</v>
      </c>
      <c r="F15" s="13">
        <v>128</v>
      </c>
      <c r="G15" s="13">
        <v>118</v>
      </c>
      <c r="H15" s="13">
        <v>164</v>
      </c>
      <c r="I15" s="13">
        <v>174</v>
      </c>
      <c r="J15" s="13">
        <v>176</v>
      </c>
      <c r="K15" s="13">
        <v>259</v>
      </c>
      <c r="L15" s="13">
        <v>323</v>
      </c>
      <c r="M15" s="13">
        <v>497</v>
      </c>
      <c r="N15" s="13">
        <f t="shared" si="0"/>
        <v>325.41666666666669</v>
      </c>
      <c r="O15" s="12"/>
    </row>
    <row r="16" spans="1:15" ht="12" customHeight="1" x14ac:dyDescent="0.15">
      <c r="A16" s="2" t="s">
        <v>12</v>
      </c>
      <c r="B16" s="11">
        <v>1022</v>
      </c>
      <c r="C16" s="11">
        <v>1187</v>
      </c>
      <c r="D16" s="11">
        <v>912</v>
      </c>
      <c r="E16" s="11">
        <v>560</v>
      </c>
      <c r="F16" s="11">
        <v>343</v>
      </c>
      <c r="G16" s="11">
        <v>349</v>
      </c>
      <c r="H16" s="11">
        <v>469</v>
      </c>
      <c r="I16" s="11">
        <v>670</v>
      </c>
      <c r="J16" s="11">
        <v>723</v>
      </c>
      <c r="K16" s="11">
        <v>757</v>
      </c>
      <c r="L16" s="12">
        <v>860</v>
      </c>
      <c r="M16" s="12">
        <v>1017</v>
      </c>
      <c r="N16" s="11">
        <f t="shared" si="0"/>
        <v>739.08333333333337</v>
      </c>
      <c r="O16" s="12"/>
    </row>
    <row r="17" spans="1:15" ht="12" customHeight="1" x14ac:dyDescent="0.15">
      <c r="A17" s="2" t="s">
        <v>13</v>
      </c>
      <c r="B17" s="11">
        <v>2382</v>
      </c>
      <c r="C17" s="11">
        <v>2215</v>
      </c>
      <c r="D17" s="11">
        <v>1869</v>
      </c>
      <c r="E17" s="11">
        <v>1266</v>
      </c>
      <c r="F17" s="11">
        <v>764</v>
      </c>
      <c r="G17" s="11">
        <v>605</v>
      </c>
      <c r="H17" s="11">
        <v>718</v>
      </c>
      <c r="I17" s="11">
        <v>881</v>
      </c>
      <c r="J17" s="11">
        <v>1111</v>
      </c>
      <c r="K17" s="11">
        <v>1173</v>
      </c>
      <c r="L17" s="12">
        <v>1205</v>
      </c>
      <c r="M17" s="12">
        <v>1630</v>
      </c>
      <c r="N17" s="11">
        <f t="shared" si="0"/>
        <v>1318.25</v>
      </c>
      <c r="O17" s="12"/>
    </row>
    <row r="18" spans="1:15" ht="12" customHeight="1" x14ac:dyDescent="0.15">
      <c r="A18" s="2" t="s">
        <v>32</v>
      </c>
      <c r="B18" s="11">
        <v>683</v>
      </c>
      <c r="C18" s="11">
        <v>594</v>
      </c>
      <c r="D18" s="11">
        <v>541</v>
      </c>
      <c r="E18" s="11">
        <v>295</v>
      </c>
      <c r="F18" s="11">
        <v>146</v>
      </c>
      <c r="G18" s="11">
        <v>84</v>
      </c>
      <c r="H18" s="11">
        <v>93</v>
      </c>
      <c r="I18" s="11">
        <v>142</v>
      </c>
      <c r="J18" s="11">
        <v>179</v>
      </c>
      <c r="K18" s="11">
        <v>179</v>
      </c>
      <c r="L18" s="12">
        <v>255</v>
      </c>
      <c r="M18" s="12">
        <v>544</v>
      </c>
      <c r="N18" s="11">
        <f t="shared" si="0"/>
        <v>311.25</v>
      </c>
      <c r="O18" s="12"/>
    </row>
    <row r="19" spans="1:15" ht="12" customHeight="1" x14ac:dyDescent="0.15">
      <c r="A19" s="5" t="s">
        <v>33</v>
      </c>
      <c r="B19" s="14">
        <v>1641</v>
      </c>
      <c r="C19" s="14">
        <v>1528</v>
      </c>
      <c r="D19" s="14">
        <v>1784</v>
      </c>
      <c r="E19" s="14">
        <v>1044</v>
      </c>
      <c r="F19" s="14">
        <v>505</v>
      </c>
      <c r="G19" s="14">
        <v>446</v>
      </c>
      <c r="H19" s="14">
        <v>418</v>
      </c>
      <c r="I19" s="14">
        <v>721</v>
      </c>
      <c r="J19" s="14">
        <v>793</v>
      </c>
      <c r="K19" s="14">
        <v>977</v>
      </c>
      <c r="L19" s="13">
        <v>1201</v>
      </c>
      <c r="M19" s="13">
        <v>1715</v>
      </c>
      <c r="N19" s="13">
        <f t="shared" si="0"/>
        <v>1064.4166666666667</v>
      </c>
      <c r="O19" s="12"/>
    </row>
    <row r="20" spans="1:15" ht="12" customHeight="1" x14ac:dyDescent="0.15">
      <c r="A20" s="2" t="s">
        <v>34</v>
      </c>
      <c r="B20" s="11">
        <v>1951</v>
      </c>
      <c r="C20" s="11">
        <v>1824</v>
      </c>
      <c r="D20" s="11">
        <v>1785</v>
      </c>
      <c r="E20" s="11">
        <v>1433</v>
      </c>
      <c r="F20" s="11">
        <v>676</v>
      </c>
      <c r="G20" s="11">
        <v>613</v>
      </c>
      <c r="H20" s="11">
        <v>529</v>
      </c>
      <c r="I20" s="11">
        <v>592</v>
      </c>
      <c r="J20" s="11">
        <v>747</v>
      </c>
      <c r="K20" s="11">
        <v>932</v>
      </c>
      <c r="L20" s="12">
        <v>1233</v>
      </c>
      <c r="M20" s="12">
        <v>1637</v>
      </c>
      <c r="N20" s="11">
        <f t="shared" si="0"/>
        <v>1162.6666666666667</v>
      </c>
      <c r="O20" s="12"/>
    </row>
    <row r="21" spans="1:15" ht="12" customHeight="1" x14ac:dyDescent="0.15">
      <c r="A21" s="2" t="s">
        <v>35</v>
      </c>
      <c r="B21" s="11">
        <v>1419</v>
      </c>
      <c r="C21" s="11">
        <v>1344</v>
      </c>
      <c r="D21" s="11">
        <v>1356</v>
      </c>
      <c r="E21" s="11">
        <v>1038</v>
      </c>
      <c r="F21" s="11">
        <v>455</v>
      </c>
      <c r="G21" s="11">
        <v>367</v>
      </c>
      <c r="H21" s="11">
        <v>385</v>
      </c>
      <c r="I21" s="11">
        <v>345</v>
      </c>
      <c r="J21" s="11">
        <v>398</v>
      </c>
      <c r="K21" s="11">
        <v>586</v>
      </c>
      <c r="L21" s="12">
        <v>823</v>
      </c>
      <c r="M21" s="12">
        <v>1298</v>
      </c>
      <c r="N21" s="11">
        <f t="shared" si="0"/>
        <v>817.83333333333337</v>
      </c>
      <c r="O21" s="12"/>
    </row>
    <row r="22" spans="1:15" ht="12" customHeight="1" x14ac:dyDescent="0.15">
      <c r="A22" s="2" t="s">
        <v>14</v>
      </c>
      <c r="B22" s="11">
        <v>3785</v>
      </c>
      <c r="C22" s="11">
        <v>2814</v>
      </c>
      <c r="D22" s="11">
        <v>2570</v>
      </c>
      <c r="E22" s="11">
        <v>2292</v>
      </c>
      <c r="F22" s="11">
        <v>1319</v>
      </c>
      <c r="G22" s="11">
        <v>892</v>
      </c>
      <c r="H22" s="11">
        <v>912</v>
      </c>
      <c r="I22" s="11">
        <v>1194</v>
      </c>
      <c r="J22" s="11">
        <v>1569</v>
      </c>
      <c r="K22" s="11">
        <v>2069</v>
      </c>
      <c r="L22" s="12">
        <v>2335</v>
      </c>
      <c r="M22" s="12">
        <v>3576</v>
      </c>
      <c r="N22" s="11">
        <f t="shared" si="0"/>
        <v>2110.5833333333335</v>
      </c>
      <c r="O22" s="12"/>
    </row>
    <row r="23" spans="1:15" ht="12" customHeight="1" x14ac:dyDescent="0.15">
      <c r="A23" s="2" t="s">
        <v>15</v>
      </c>
      <c r="B23" s="11">
        <v>2297</v>
      </c>
      <c r="C23" s="11">
        <v>1865</v>
      </c>
      <c r="D23" s="11">
        <v>1601</v>
      </c>
      <c r="E23" s="11">
        <v>1372</v>
      </c>
      <c r="F23" s="11">
        <v>763</v>
      </c>
      <c r="G23" s="11">
        <v>509</v>
      </c>
      <c r="H23" s="11">
        <v>433</v>
      </c>
      <c r="I23" s="11">
        <v>642</v>
      </c>
      <c r="J23" s="11">
        <v>811</v>
      </c>
      <c r="K23" s="11">
        <v>1170</v>
      </c>
      <c r="L23" s="12">
        <v>1328</v>
      </c>
      <c r="M23" s="12">
        <v>2013</v>
      </c>
      <c r="N23" s="11">
        <f t="shared" si="0"/>
        <v>1233.6666666666667</v>
      </c>
      <c r="O23" s="12"/>
    </row>
    <row r="24" spans="1:15" ht="12" customHeight="1" x14ac:dyDescent="0.15">
      <c r="A24" s="2" t="s">
        <v>16</v>
      </c>
      <c r="B24" s="11">
        <v>1464</v>
      </c>
      <c r="C24" s="11">
        <v>1357</v>
      </c>
      <c r="D24" s="11">
        <v>855</v>
      </c>
      <c r="E24" s="11">
        <v>674</v>
      </c>
      <c r="F24" s="11">
        <v>402</v>
      </c>
      <c r="G24" s="11">
        <v>172</v>
      </c>
      <c r="H24" s="11">
        <v>133</v>
      </c>
      <c r="I24" s="11">
        <v>206</v>
      </c>
      <c r="J24" s="11">
        <v>219</v>
      </c>
      <c r="K24" s="11">
        <v>429</v>
      </c>
      <c r="L24" s="12">
        <v>741</v>
      </c>
      <c r="M24" s="12">
        <v>1758</v>
      </c>
      <c r="N24" s="11">
        <f t="shared" si="0"/>
        <v>700.83333333333337</v>
      </c>
      <c r="O24" s="12"/>
    </row>
    <row r="25" spans="1:15" ht="12" customHeight="1" x14ac:dyDescent="0.15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2"/>
      <c r="M25" s="12"/>
      <c r="N25" s="11"/>
      <c r="O25" s="12"/>
    </row>
    <row r="26" spans="1:15" ht="12" customHeight="1" x14ac:dyDescent="0.15">
      <c r="A26" s="6" t="s">
        <v>17</v>
      </c>
      <c r="B26" s="15">
        <f t="shared" ref="B26:M26" si="1">SUM(B6:B24)</f>
        <v>28779</v>
      </c>
      <c r="C26" s="15">
        <f t="shared" si="1"/>
        <v>26346</v>
      </c>
      <c r="D26" s="15">
        <f t="shared" si="1"/>
        <v>23482</v>
      </c>
      <c r="E26" s="15">
        <f t="shared" si="1"/>
        <v>17653</v>
      </c>
      <c r="F26" s="15">
        <f t="shared" si="1"/>
        <v>9764</v>
      </c>
      <c r="G26" s="15">
        <f t="shared" si="1"/>
        <v>7104</v>
      </c>
      <c r="H26" s="15">
        <f t="shared" si="1"/>
        <v>7245</v>
      </c>
      <c r="I26" s="15">
        <f t="shared" si="1"/>
        <v>8938</v>
      </c>
      <c r="J26" s="15">
        <f t="shared" si="1"/>
        <v>9855</v>
      </c>
      <c r="K26" s="15">
        <f t="shared" si="1"/>
        <v>11983</v>
      </c>
      <c r="L26" s="15">
        <f t="shared" si="1"/>
        <v>14584</v>
      </c>
      <c r="M26" s="15">
        <f t="shared" si="1"/>
        <v>21527</v>
      </c>
      <c r="N26" s="15">
        <f>SUM(B26:M26)/12</f>
        <v>15605</v>
      </c>
      <c r="O26" s="12"/>
    </row>
    <row r="27" spans="1:15" ht="12" customHeight="1" x14ac:dyDescent="0.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5" ht="12" customHeight="1" x14ac:dyDescent="0.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30" spans="1:15" ht="12" customHeight="1" x14ac:dyDescent="0.15">
      <c r="A30" s="1" t="s">
        <v>31</v>
      </c>
    </row>
    <row r="31" spans="1:15" ht="12" customHeight="1" x14ac:dyDescent="0.15">
      <c r="A31" s="7">
        <v>1970</v>
      </c>
    </row>
    <row r="32" spans="1:15" ht="12" customHeight="1" x14ac:dyDescent="0.15">
      <c r="A32" s="3" t="s">
        <v>1</v>
      </c>
      <c r="B32" s="3" t="s">
        <v>23</v>
      </c>
      <c r="C32" s="3" t="s">
        <v>24</v>
      </c>
      <c r="D32" s="3" t="s">
        <v>18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25</v>
      </c>
      <c r="J32" s="3" t="s">
        <v>26</v>
      </c>
      <c r="K32" s="3" t="s">
        <v>27</v>
      </c>
      <c r="L32" s="3" t="s">
        <v>28</v>
      </c>
      <c r="M32" s="3" t="s">
        <v>29</v>
      </c>
      <c r="N32" s="8" t="s">
        <v>30</v>
      </c>
    </row>
    <row r="34" spans="1:15" ht="12" customHeight="1" x14ac:dyDescent="0.15">
      <c r="A34" s="2" t="s">
        <v>2</v>
      </c>
      <c r="B34" s="11">
        <v>883</v>
      </c>
      <c r="C34" s="11">
        <v>906</v>
      </c>
      <c r="D34" s="11">
        <v>830</v>
      </c>
      <c r="E34" s="11">
        <v>629</v>
      </c>
      <c r="F34" s="11">
        <v>446</v>
      </c>
      <c r="G34" s="11">
        <v>411</v>
      </c>
      <c r="H34" s="11">
        <v>447</v>
      </c>
      <c r="I34" s="11">
        <v>533</v>
      </c>
      <c r="J34" s="11">
        <v>558</v>
      </c>
      <c r="K34" s="11">
        <v>568</v>
      </c>
      <c r="L34" s="12">
        <v>635</v>
      </c>
      <c r="M34" s="12">
        <v>660</v>
      </c>
      <c r="N34" s="11">
        <f>SUM(B34:M34)/12</f>
        <v>625.5</v>
      </c>
      <c r="O34" s="12"/>
    </row>
    <row r="35" spans="1:15" ht="12" customHeight="1" x14ac:dyDescent="0.15">
      <c r="A35" s="2" t="s">
        <v>3</v>
      </c>
      <c r="B35" s="11">
        <v>436</v>
      </c>
      <c r="C35" s="11">
        <v>380</v>
      </c>
      <c r="D35" s="11">
        <v>276</v>
      </c>
      <c r="E35" s="11">
        <v>194</v>
      </c>
      <c r="F35" s="11">
        <v>135</v>
      </c>
      <c r="G35" s="11">
        <v>125</v>
      </c>
      <c r="H35" s="11">
        <v>179</v>
      </c>
      <c r="I35" s="11">
        <v>183</v>
      </c>
      <c r="J35" s="11">
        <v>134</v>
      </c>
      <c r="K35" s="11">
        <v>161</v>
      </c>
      <c r="L35" s="12">
        <v>189</v>
      </c>
      <c r="M35" s="12">
        <v>227</v>
      </c>
      <c r="N35" s="11">
        <f>SUM(B35:M35)/12</f>
        <v>218.25</v>
      </c>
      <c r="O35" s="12"/>
    </row>
    <row r="36" spans="1:15" ht="12" customHeight="1" x14ac:dyDescent="0.15">
      <c r="A36" s="2" t="s">
        <v>4</v>
      </c>
      <c r="B36" s="11">
        <v>646</v>
      </c>
      <c r="C36" s="11">
        <v>590</v>
      </c>
      <c r="D36" s="11">
        <v>540</v>
      </c>
      <c r="E36" s="11">
        <v>481</v>
      </c>
      <c r="F36" s="11">
        <v>330</v>
      </c>
      <c r="G36" s="11">
        <v>259</v>
      </c>
      <c r="H36" s="11">
        <v>263</v>
      </c>
      <c r="I36" s="11">
        <v>349</v>
      </c>
      <c r="J36" s="11">
        <v>319</v>
      </c>
      <c r="K36" s="11">
        <v>355</v>
      </c>
      <c r="L36" s="12">
        <v>373</v>
      </c>
      <c r="M36" s="12">
        <v>427</v>
      </c>
      <c r="N36" s="11">
        <f t="shared" ref="N36:N52" si="2">SUM(B36:M36)/12</f>
        <v>411</v>
      </c>
      <c r="O36" s="12"/>
    </row>
    <row r="37" spans="1:15" ht="12" customHeight="1" x14ac:dyDescent="0.15">
      <c r="A37" s="2" t="s">
        <v>5</v>
      </c>
      <c r="B37" s="11">
        <v>974</v>
      </c>
      <c r="C37" s="11">
        <v>1060</v>
      </c>
      <c r="D37" s="11">
        <v>1081</v>
      </c>
      <c r="E37" s="11">
        <v>1013</v>
      </c>
      <c r="F37" s="11">
        <v>426</v>
      </c>
      <c r="G37" s="11">
        <v>353</v>
      </c>
      <c r="H37" s="11">
        <v>313</v>
      </c>
      <c r="I37" s="11">
        <v>356</v>
      </c>
      <c r="J37" s="11">
        <v>346</v>
      </c>
      <c r="K37" s="11">
        <v>397</v>
      </c>
      <c r="L37" s="12">
        <v>606</v>
      </c>
      <c r="M37" s="12">
        <v>961</v>
      </c>
      <c r="N37" s="11">
        <f t="shared" si="2"/>
        <v>657.16666666666663</v>
      </c>
      <c r="O37" s="12"/>
    </row>
    <row r="38" spans="1:15" ht="12" customHeight="1" x14ac:dyDescent="0.15">
      <c r="A38" s="5" t="s">
        <v>6</v>
      </c>
      <c r="B38" s="13">
        <v>1254</v>
      </c>
      <c r="C38" s="13">
        <v>1187</v>
      </c>
      <c r="D38" s="13">
        <v>1244</v>
      </c>
      <c r="E38" s="13">
        <v>1058</v>
      </c>
      <c r="F38" s="13">
        <v>519</v>
      </c>
      <c r="G38" s="13">
        <v>364</v>
      </c>
      <c r="H38" s="13">
        <v>323</v>
      </c>
      <c r="I38" s="13">
        <v>373</v>
      </c>
      <c r="J38" s="13">
        <v>337</v>
      </c>
      <c r="K38" s="13">
        <v>405</v>
      </c>
      <c r="L38" s="13">
        <v>645</v>
      </c>
      <c r="M38" s="13">
        <v>1009</v>
      </c>
      <c r="N38" s="13">
        <f t="shared" si="2"/>
        <v>726.5</v>
      </c>
      <c r="O38" s="12"/>
    </row>
    <row r="39" spans="1:15" ht="12" customHeight="1" x14ac:dyDescent="0.15">
      <c r="A39" s="2" t="s">
        <v>7</v>
      </c>
      <c r="B39" s="11">
        <v>481</v>
      </c>
      <c r="C39" s="11">
        <v>453</v>
      </c>
      <c r="D39" s="11">
        <v>370</v>
      </c>
      <c r="E39" s="11">
        <v>324</v>
      </c>
      <c r="F39" s="11">
        <v>219</v>
      </c>
      <c r="G39" s="11">
        <v>184</v>
      </c>
      <c r="H39" s="11">
        <v>229</v>
      </c>
      <c r="I39" s="11">
        <v>214</v>
      </c>
      <c r="J39" s="11">
        <v>202</v>
      </c>
      <c r="K39" s="11">
        <v>215</v>
      </c>
      <c r="L39" s="12">
        <v>264</v>
      </c>
      <c r="M39" s="12">
        <v>457</v>
      </c>
      <c r="N39" s="11">
        <f t="shared" si="2"/>
        <v>301</v>
      </c>
      <c r="O39" s="12"/>
    </row>
    <row r="40" spans="1:15" ht="12" customHeight="1" x14ac:dyDescent="0.15">
      <c r="A40" s="2" t="s">
        <v>8</v>
      </c>
      <c r="B40" s="11">
        <v>322</v>
      </c>
      <c r="C40" s="11">
        <v>289</v>
      </c>
      <c r="D40" s="11">
        <v>225</v>
      </c>
      <c r="E40" s="11">
        <v>111</v>
      </c>
      <c r="F40" s="11">
        <v>61</v>
      </c>
      <c r="G40" s="11">
        <v>173</v>
      </c>
      <c r="H40" s="11">
        <v>111</v>
      </c>
      <c r="I40" s="11">
        <v>119</v>
      </c>
      <c r="J40" s="11">
        <v>149</v>
      </c>
      <c r="K40" s="11">
        <v>135</v>
      </c>
      <c r="L40" s="12">
        <v>136</v>
      </c>
      <c r="M40" s="12">
        <v>143</v>
      </c>
      <c r="N40" s="11">
        <f t="shared" si="2"/>
        <v>164.5</v>
      </c>
      <c r="O40" s="12"/>
    </row>
    <row r="41" spans="1:15" ht="12" customHeight="1" x14ac:dyDescent="0.15">
      <c r="A41" s="2" t="s">
        <v>9</v>
      </c>
      <c r="B41" s="11">
        <v>1143</v>
      </c>
      <c r="C41" s="11">
        <v>1196</v>
      </c>
      <c r="D41" s="11">
        <v>1046</v>
      </c>
      <c r="E41" s="11">
        <v>777</v>
      </c>
      <c r="F41" s="11">
        <v>526</v>
      </c>
      <c r="G41" s="11">
        <v>502</v>
      </c>
      <c r="H41" s="11">
        <v>488</v>
      </c>
      <c r="I41" s="11">
        <v>509</v>
      </c>
      <c r="J41" s="11">
        <v>477</v>
      </c>
      <c r="K41" s="11">
        <v>544</v>
      </c>
      <c r="L41" s="12">
        <v>698</v>
      </c>
      <c r="M41" s="12">
        <v>893</v>
      </c>
      <c r="N41" s="11">
        <f t="shared" si="2"/>
        <v>733.25</v>
      </c>
      <c r="O41" s="12"/>
    </row>
    <row r="42" spans="1:15" ht="12" customHeight="1" x14ac:dyDescent="0.15">
      <c r="A42" s="2" t="s">
        <v>10</v>
      </c>
      <c r="B42" s="11">
        <v>632</v>
      </c>
      <c r="C42" s="11">
        <v>690</v>
      </c>
      <c r="D42" s="11">
        <v>543</v>
      </c>
      <c r="E42" s="11">
        <v>211</v>
      </c>
      <c r="F42" s="11">
        <v>88</v>
      </c>
      <c r="G42" s="11">
        <v>99</v>
      </c>
      <c r="H42" s="11">
        <v>117</v>
      </c>
      <c r="I42" s="11">
        <v>136</v>
      </c>
      <c r="J42" s="11">
        <v>122</v>
      </c>
      <c r="K42" s="11">
        <v>146</v>
      </c>
      <c r="L42" s="12">
        <v>192</v>
      </c>
      <c r="M42" s="12">
        <v>241</v>
      </c>
      <c r="N42" s="11">
        <f t="shared" si="2"/>
        <v>268.08333333333331</v>
      </c>
      <c r="O42" s="12"/>
    </row>
    <row r="43" spans="1:15" ht="12" customHeight="1" x14ac:dyDescent="0.15">
      <c r="A43" s="5" t="s">
        <v>11</v>
      </c>
      <c r="B43" s="13">
        <v>578</v>
      </c>
      <c r="C43" s="13">
        <v>761</v>
      </c>
      <c r="D43" s="13">
        <v>452</v>
      </c>
      <c r="E43" s="13">
        <v>246</v>
      </c>
      <c r="F43" s="13">
        <v>118</v>
      </c>
      <c r="G43" s="13">
        <v>90</v>
      </c>
      <c r="H43" s="13">
        <v>96</v>
      </c>
      <c r="I43" s="13">
        <v>113</v>
      </c>
      <c r="J43" s="13">
        <v>117</v>
      </c>
      <c r="K43" s="13">
        <v>146</v>
      </c>
      <c r="L43" s="13">
        <v>180</v>
      </c>
      <c r="M43" s="13">
        <v>297</v>
      </c>
      <c r="N43" s="13">
        <f t="shared" si="2"/>
        <v>266.16666666666669</v>
      </c>
      <c r="O43" s="12"/>
    </row>
    <row r="44" spans="1:15" ht="12" customHeight="1" x14ac:dyDescent="0.15">
      <c r="A44" s="2" t="s">
        <v>12</v>
      </c>
      <c r="B44" s="11">
        <v>1175</v>
      </c>
      <c r="C44" s="11">
        <v>1199</v>
      </c>
      <c r="D44" s="11">
        <v>925</v>
      </c>
      <c r="E44" s="11">
        <v>672</v>
      </c>
      <c r="F44" s="11">
        <v>411</v>
      </c>
      <c r="G44" s="11">
        <v>679</v>
      </c>
      <c r="H44" s="11">
        <v>427</v>
      </c>
      <c r="I44" s="11">
        <v>656</v>
      </c>
      <c r="J44" s="11">
        <v>660</v>
      </c>
      <c r="K44" s="11">
        <v>723</v>
      </c>
      <c r="L44" s="12">
        <v>740</v>
      </c>
      <c r="M44" s="12">
        <v>745</v>
      </c>
      <c r="N44" s="11">
        <f t="shared" si="2"/>
        <v>751</v>
      </c>
      <c r="O44" s="12"/>
    </row>
    <row r="45" spans="1:15" ht="12" customHeight="1" x14ac:dyDescent="0.15">
      <c r="A45" s="2" t="s">
        <v>13</v>
      </c>
      <c r="B45" s="11">
        <v>1712</v>
      </c>
      <c r="C45" s="11">
        <v>1411</v>
      </c>
      <c r="D45" s="11">
        <v>1248</v>
      </c>
      <c r="E45" s="11">
        <v>964</v>
      </c>
      <c r="F45" s="11">
        <v>622</v>
      </c>
      <c r="G45" s="11">
        <v>504</v>
      </c>
      <c r="H45" s="11">
        <v>438</v>
      </c>
      <c r="I45" s="11">
        <v>588</v>
      </c>
      <c r="J45" s="11">
        <v>700</v>
      </c>
      <c r="K45" s="11">
        <v>687</v>
      </c>
      <c r="L45" s="12">
        <v>861</v>
      </c>
      <c r="M45" s="12">
        <v>1067</v>
      </c>
      <c r="N45" s="11">
        <f t="shared" si="2"/>
        <v>900.16666666666663</v>
      </c>
      <c r="O45" s="12"/>
    </row>
    <row r="46" spans="1:15" ht="12" customHeight="1" x14ac:dyDescent="0.15">
      <c r="A46" s="2" t="s">
        <v>32</v>
      </c>
      <c r="B46" s="11">
        <v>532</v>
      </c>
      <c r="C46" s="11">
        <v>428</v>
      </c>
      <c r="D46" s="11">
        <v>420</v>
      </c>
      <c r="E46" s="11">
        <v>297</v>
      </c>
      <c r="F46" s="11">
        <v>151</v>
      </c>
      <c r="G46" s="11">
        <v>109</v>
      </c>
      <c r="H46" s="11">
        <v>148</v>
      </c>
      <c r="I46" s="11">
        <v>191</v>
      </c>
      <c r="J46" s="11">
        <v>212</v>
      </c>
      <c r="K46" s="11">
        <v>247</v>
      </c>
      <c r="L46" s="12">
        <v>330</v>
      </c>
      <c r="M46" s="12">
        <v>543</v>
      </c>
      <c r="N46" s="11">
        <f t="shared" si="2"/>
        <v>300.66666666666669</v>
      </c>
      <c r="O46" s="12"/>
    </row>
    <row r="47" spans="1:15" ht="12" customHeight="1" x14ac:dyDescent="0.15">
      <c r="A47" s="5" t="s">
        <v>33</v>
      </c>
      <c r="B47" s="14">
        <v>1378</v>
      </c>
      <c r="C47" s="14">
        <v>1258</v>
      </c>
      <c r="D47" s="14">
        <v>1269</v>
      </c>
      <c r="E47" s="14">
        <v>770</v>
      </c>
      <c r="F47" s="14">
        <v>510</v>
      </c>
      <c r="G47" s="14">
        <v>394</v>
      </c>
      <c r="H47" s="14">
        <v>391</v>
      </c>
      <c r="I47" s="14">
        <v>484</v>
      </c>
      <c r="J47" s="14">
        <v>589</v>
      </c>
      <c r="K47" s="14">
        <v>640</v>
      </c>
      <c r="L47" s="13">
        <v>761</v>
      </c>
      <c r="M47" s="13">
        <v>1705</v>
      </c>
      <c r="N47" s="13">
        <f t="shared" si="2"/>
        <v>845.75</v>
      </c>
      <c r="O47" s="12"/>
    </row>
    <row r="48" spans="1:15" ht="12" customHeight="1" x14ac:dyDescent="0.15">
      <c r="A48" s="2" t="s">
        <v>34</v>
      </c>
      <c r="B48" s="11">
        <v>1768</v>
      </c>
      <c r="C48" s="11">
        <v>1618</v>
      </c>
      <c r="D48" s="11">
        <v>1235</v>
      </c>
      <c r="E48" s="11">
        <v>909</v>
      </c>
      <c r="F48" s="11">
        <v>476</v>
      </c>
      <c r="G48" s="11">
        <v>399</v>
      </c>
      <c r="H48" s="11">
        <v>471</v>
      </c>
      <c r="I48" s="11">
        <v>563</v>
      </c>
      <c r="J48" s="11">
        <v>673</v>
      </c>
      <c r="K48" s="11">
        <v>790</v>
      </c>
      <c r="L48" s="12">
        <v>1004</v>
      </c>
      <c r="M48" s="12">
        <v>1319</v>
      </c>
      <c r="N48" s="13">
        <f t="shared" si="2"/>
        <v>935.41666666666663</v>
      </c>
      <c r="O48" s="12"/>
    </row>
    <row r="49" spans="1:15" ht="12" customHeight="1" x14ac:dyDescent="0.15">
      <c r="A49" s="2" t="s">
        <v>35</v>
      </c>
      <c r="B49" s="11">
        <v>1285</v>
      </c>
      <c r="C49" s="11">
        <v>1046</v>
      </c>
      <c r="D49" s="11">
        <v>975</v>
      </c>
      <c r="E49" s="11">
        <v>880</v>
      </c>
      <c r="F49" s="11">
        <v>418</v>
      </c>
      <c r="G49" s="11">
        <v>321</v>
      </c>
      <c r="H49" s="11">
        <v>318</v>
      </c>
      <c r="I49" s="11">
        <v>373</v>
      </c>
      <c r="J49" s="11">
        <v>401</v>
      </c>
      <c r="K49" s="11">
        <v>492</v>
      </c>
      <c r="L49" s="12">
        <v>664</v>
      </c>
      <c r="M49" s="12">
        <v>1147</v>
      </c>
      <c r="N49" s="11">
        <f t="shared" si="2"/>
        <v>693.33333333333337</v>
      </c>
      <c r="O49" s="12"/>
    </row>
    <row r="50" spans="1:15" ht="12" customHeight="1" x14ac:dyDescent="0.15">
      <c r="A50" s="2" t="s">
        <v>14</v>
      </c>
      <c r="B50" s="11">
        <v>2891</v>
      </c>
      <c r="C50" s="11">
        <v>2107</v>
      </c>
      <c r="D50" s="11">
        <v>1901</v>
      </c>
      <c r="E50" s="11">
        <v>1786</v>
      </c>
      <c r="F50" s="11">
        <v>1224</v>
      </c>
      <c r="G50" s="11">
        <v>845</v>
      </c>
      <c r="H50" s="11">
        <v>862</v>
      </c>
      <c r="I50" s="11">
        <v>1056</v>
      </c>
      <c r="J50" s="11">
        <v>1408</v>
      </c>
      <c r="K50" s="11">
        <v>1840</v>
      </c>
      <c r="L50" s="12">
        <v>2383</v>
      </c>
      <c r="M50" s="12">
        <v>3661</v>
      </c>
      <c r="N50" s="11">
        <f t="shared" si="2"/>
        <v>1830.3333333333333</v>
      </c>
      <c r="O50" s="12"/>
    </row>
    <row r="51" spans="1:15" ht="12" customHeight="1" x14ac:dyDescent="0.15">
      <c r="A51" s="2" t="s">
        <v>15</v>
      </c>
      <c r="B51" s="11">
        <v>1943</v>
      </c>
      <c r="C51" s="11">
        <v>1692</v>
      </c>
      <c r="D51" s="11">
        <v>1363</v>
      </c>
      <c r="E51" s="11">
        <v>1072</v>
      </c>
      <c r="F51" s="11">
        <v>693</v>
      </c>
      <c r="G51" s="11">
        <v>516</v>
      </c>
      <c r="H51" s="11">
        <v>435</v>
      </c>
      <c r="I51" s="11">
        <v>552</v>
      </c>
      <c r="J51" s="11">
        <v>690</v>
      </c>
      <c r="K51" s="11">
        <v>973</v>
      </c>
      <c r="L51" s="12">
        <v>1377</v>
      </c>
      <c r="M51" s="12">
        <v>2256</v>
      </c>
      <c r="N51" s="11">
        <f t="shared" si="2"/>
        <v>1130.1666666666667</v>
      </c>
      <c r="O51" s="12"/>
    </row>
    <row r="52" spans="1:15" ht="12" customHeight="1" x14ac:dyDescent="0.15">
      <c r="A52" s="2" t="s">
        <v>16</v>
      </c>
      <c r="B52" s="11">
        <v>1725</v>
      </c>
      <c r="C52" s="11">
        <v>1274</v>
      </c>
      <c r="D52" s="11">
        <v>749</v>
      </c>
      <c r="E52" s="11">
        <v>551</v>
      </c>
      <c r="F52" s="11">
        <v>322</v>
      </c>
      <c r="G52" s="11">
        <v>181</v>
      </c>
      <c r="H52" s="11">
        <v>173</v>
      </c>
      <c r="I52" s="11">
        <v>198</v>
      </c>
      <c r="J52" s="11">
        <v>250</v>
      </c>
      <c r="K52" s="11">
        <v>489</v>
      </c>
      <c r="L52" s="12">
        <v>797</v>
      </c>
      <c r="M52" s="12">
        <v>1693</v>
      </c>
      <c r="N52" s="11">
        <f t="shared" si="2"/>
        <v>700.16666666666663</v>
      </c>
      <c r="O52" s="12"/>
    </row>
    <row r="53" spans="1:15" ht="12" customHeight="1" x14ac:dyDescent="0.15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2"/>
      <c r="M53" s="12"/>
      <c r="N53" s="11"/>
      <c r="O53" s="12"/>
    </row>
    <row r="54" spans="1:15" ht="12" customHeight="1" x14ac:dyDescent="0.15">
      <c r="A54" s="6" t="s">
        <v>17</v>
      </c>
      <c r="B54" s="15">
        <f t="shared" ref="B54:M54" si="3">SUM(B34:B52)</f>
        <v>21758</v>
      </c>
      <c r="C54" s="15">
        <f t="shared" si="3"/>
        <v>19545</v>
      </c>
      <c r="D54" s="15">
        <f t="shared" si="3"/>
        <v>16692</v>
      </c>
      <c r="E54" s="15">
        <f t="shared" si="3"/>
        <v>12945</v>
      </c>
      <c r="F54" s="15">
        <f t="shared" si="3"/>
        <v>7695</v>
      </c>
      <c r="G54" s="15">
        <f t="shared" si="3"/>
        <v>6508</v>
      </c>
      <c r="H54" s="15">
        <f t="shared" si="3"/>
        <v>6229</v>
      </c>
      <c r="I54" s="15">
        <f t="shared" si="3"/>
        <v>7546</v>
      </c>
      <c r="J54" s="15">
        <f t="shared" si="3"/>
        <v>8344</v>
      </c>
      <c r="K54" s="15">
        <f t="shared" si="3"/>
        <v>9953</v>
      </c>
      <c r="L54" s="15">
        <f t="shared" si="3"/>
        <v>12835</v>
      </c>
      <c r="M54" s="15">
        <f t="shared" si="3"/>
        <v>19451</v>
      </c>
      <c r="N54" s="15">
        <f>SUM(B54:M54)/12</f>
        <v>12458.416666666666</v>
      </c>
      <c r="O54" s="12"/>
    </row>
    <row r="55" spans="1:15" ht="12" customHeight="1" x14ac:dyDescent="0.15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1"/>
      <c r="O55" s="12"/>
    </row>
  </sheetData>
  <printOptions gridLines="1"/>
  <pageMargins left="0.19685039370078741" right="0.19685039370078741" top="0.98425196850393704" bottom="0.98425196850393704" header="0.51181102362204722" footer="0.51181102362204722"/>
  <pageSetup paperSize="9" orientation="portrait" r:id="rId1"/>
  <headerFooter alignWithMargins="0">
    <oddFooter>&amp;C&amp;"Verdana,Normal"&amp;9 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1961-62</vt:lpstr>
      <vt:lpstr>1963-64</vt:lpstr>
      <vt:lpstr>1965-66</vt:lpstr>
      <vt:lpstr>1967-68 </vt:lpstr>
      <vt:lpstr>1969-70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Arbeidsdirektoratet</dc:creator>
  <cp:lastModifiedBy>Steinar Folkvord</cp:lastModifiedBy>
  <cp:lastPrinted>2004-03-02T08:56:14Z</cp:lastPrinted>
  <dcterms:created xsi:type="dcterms:W3CDTF">2004-02-05T10:05:36Z</dcterms:created>
  <dcterms:modified xsi:type="dcterms:W3CDTF">2013-02-14T15:08:13Z</dcterms:modified>
</cp:coreProperties>
</file>